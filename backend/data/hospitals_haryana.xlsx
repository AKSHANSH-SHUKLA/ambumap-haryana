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Priya\00_PhD\03_Amby\"/>
    </mc:Choice>
  </mc:AlternateContent>
  <xr:revisionPtr revIDLastSave="0" documentId="13_ncr:1_{1039AB90-36B1-4CB6-9F72-ED1816C0E192}" xr6:coauthVersionLast="47" xr6:coauthVersionMax="47" xr10:uidLastSave="{00000000-0000-0000-0000-000000000000}"/>
  <bookViews>
    <workbookView xWindow="-120" yWindow="-120" windowWidth="20730" windowHeight="11040" xr2:uid="{D0F9A606-F086-4E7E-96C7-5953A88AD52B}"/>
  </bookViews>
  <sheets>
    <sheet name="TPL" sheetId="2" r:id="rId1"/>
    <sheet name="Hospita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" i="2" l="1"/>
  <c r="W3" i="2"/>
  <c r="X3" i="2"/>
  <c r="V4" i="2"/>
  <c r="W4" i="2"/>
  <c r="X4" i="2"/>
  <c r="V5" i="2"/>
  <c r="W5" i="2"/>
  <c r="X5" i="2"/>
  <c r="V6" i="2"/>
  <c r="W6" i="2"/>
  <c r="X6" i="2"/>
  <c r="V7" i="2"/>
  <c r="W7" i="2"/>
  <c r="X7" i="2"/>
  <c r="V8" i="2"/>
  <c r="W8" i="2"/>
  <c r="X8" i="2"/>
  <c r="V9" i="2"/>
  <c r="W9" i="2"/>
  <c r="X9" i="2"/>
  <c r="V10" i="2"/>
  <c r="W10" i="2"/>
  <c r="X10" i="2"/>
  <c r="V11" i="2"/>
  <c r="W11" i="2"/>
  <c r="X11" i="2"/>
  <c r="V12" i="2"/>
  <c r="W12" i="2"/>
  <c r="X12" i="2"/>
  <c r="V13" i="2"/>
  <c r="W13" i="2"/>
  <c r="X13" i="2"/>
  <c r="V14" i="2"/>
  <c r="W14" i="2"/>
  <c r="X14" i="2"/>
  <c r="V15" i="2"/>
  <c r="W15" i="2"/>
  <c r="X15" i="2"/>
  <c r="V16" i="2"/>
  <c r="W16" i="2"/>
  <c r="X16" i="2"/>
  <c r="V17" i="2"/>
  <c r="W17" i="2"/>
  <c r="X17" i="2"/>
  <c r="V18" i="2"/>
  <c r="W18" i="2"/>
  <c r="X18" i="2"/>
  <c r="V19" i="2"/>
  <c r="W19" i="2"/>
  <c r="X19" i="2"/>
  <c r="V20" i="2"/>
  <c r="W20" i="2"/>
  <c r="X20" i="2"/>
  <c r="V21" i="2"/>
  <c r="W21" i="2"/>
  <c r="X21" i="2"/>
  <c r="V22" i="2"/>
  <c r="W22" i="2"/>
  <c r="X22" i="2"/>
  <c r="V23" i="2"/>
  <c r="W23" i="2"/>
  <c r="X23" i="2"/>
  <c r="V24" i="2"/>
  <c r="W24" i="2"/>
  <c r="X24" i="2"/>
  <c r="V25" i="2"/>
  <c r="W25" i="2"/>
  <c r="X25" i="2"/>
  <c r="V26" i="2"/>
  <c r="W26" i="2"/>
  <c r="X26" i="2"/>
  <c r="V27" i="2"/>
  <c r="W27" i="2"/>
  <c r="X27" i="2"/>
  <c r="V28" i="2"/>
  <c r="W28" i="2"/>
  <c r="X28" i="2"/>
  <c r="V29" i="2"/>
  <c r="W29" i="2"/>
  <c r="X29" i="2"/>
  <c r="V30" i="2"/>
  <c r="W30" i="2"/>
  <c r="X30" i="2"/>
  <c r="V31" i="2"/>
  <c r="W31" i="2"/>
  <c r="X31" i="2"/>
  <c r="V32" i="2"/>
  <c r="W32" i="2"/>
  <c r="X32" i="2"/>
  <c r="V33" i="2"/>
  <c r="W33" i="2"/>
  <c r="X33" i="2"/>
  <c r="V34" i="2"/>
  <c r="W34" i="2"/>
  <c r="X34" i="2"/>
  <c r="V35" i="2"/>
  <c r="W35" i="2"/>
  <c r="X35" i="2"/>
  <c r="V36" i="2"/>
  <c r="W36" i="2"/>
  <c r="X36" i="2"/>
  <c r="V37" i="2"/>
  <c r="W37" i="2"/>
  <c r="X37" i="2"/>
  <c r="V38" i="2"/>
  <c r="W38" i="2"/>
  <c r="X38" i="2"/>
  <c r="V39" i="2"/>
  <c r="W39" i="2"/>
  <c r="X39" i="2"/>
  <c r="V40" i="2"/>
  <c r="W40" i="2"/>
  <c r="X40" i="2"/>
  <c r="V41" i="2"/>
  <c r="W41" i="2"/>
  <c r="X41" i="2"/>
  <c r="V42" i="2"/>
  <c r="W42" i="2"/>
  <c r="X42" i="2"/>
  <c r="V43" i="2"/>
  <c r="W43" i="2"/>
  <c r="X43" i="2"/>
  <c r="V44" i="2"/>
  <c r="W44" i="2"/>
  <c r="X44" i="2"/>
  <c r="V45" i="2"/>
  <c r="W45" i="2"/>
  <c r="X45" i="2"/>
  <c r="V46" i="2"/>
  <c r="W46" i="2"/>
  <c r="X46" i="2"/>
  <c r="V47" i="2"/>
  <c r="W47" i="2"/>
  <c r="X47" i="2"/>
  <c r="V48" i="2"/>
  <c r="W48" i="2"/>
  <c r="X48" i="2"/>
  <c r="V49" i="2"/>
  <c r="W49" i="2"/>
  <c r="X49" i="2"/>
  <c r="V50" i="2"/>
  <c r="W50" i="2"/>
  <c r="X50" i="2"/>
  <c r="V51" i="2"/>
  <c r="W51" i="2"/>
  <c r="X51" i="2"/>
  <c r="V52" i="2"/>
  <c r="W52" i="2"/>
  <c r="X52" i="2"/>
  <c r="V53" i="2"/>
  <c r="W53" i="2"/>
  <c r="X53" i="2"/>
  <c r="V54" i="2"/>
  <c r="W54" i="2"/>
  <c r="X54" i="2"/>
  <c r="V55" i="2"/>
  <c r="W55" i="2"/>
  <c r="X55" i="2"/>
  <c r="V56" i="2"/>
  <c r="W56" i="2"/>
  <c r="X56" i="2"/>
  <c r="V57" i="2"/>
  <c r="W57" i="2"/>
  <c r="X57" i="2"/>
  <c r="V58" i="2"/>
  <c r="W58" i="2"/>
  <c r="X58" i="2"/>
  <c r="V59" i="2"/>
  <c r="W59" i="2"/>
  <c r="X59" i="2"/>
  <c r="V60" i="2"/>
  <c r="W60" i="2"/>
  <c r="X60" i="2"/>
  <c r="V61" i="2"/>
  <c r="W61" i="2"/>
  <c r="X61" i="2"/>
  <c r="V62" i="2"/>
  <c r="W62" i="2"/>
  <c r="X62" i="2"/>
  <c r="V63" i="2"/>
  <c r="W63" i="2"/>
  <c r="X63" i="2"/>
  <c r="V64" i="2"/>
  <c r="W64" i="2"/>
  <c r="X64" i="2"/>
  <c r="V65" i="2"/>
  <c r="W65" i="2"/>
  <c r="X65" i="2"/>
  <c r="V66" i="2"/>
  <c r="W66" i="2"/>
  <c r="X66" i="2"/>
  <c r="V67" i="2"/>
  <c r="W67" i="2"/>
  <c r="X67" i="2"/>
  <c r="V68" i="2"/>
  <c r="W68" i="2"/>
  <c r="X68" i="2"/>
  <c r="V69" i="2"/>
  <c r="W69" i="2"/>
  <c r="X69" i="2"/>
  <c r="V70" i="2"/>
  <c r="W70" i="2"/>
  <c r="X70" i="2"/>
  <c r="V71" i="2"/>
  <c r="W71" i="2"/>
  <c r="X71" i="2"/>
  <c r="V72" i="2"/>
  <c r="W72" i="2"/>
  <c r="X72" i="2"/>
  <c r="V73" i="2"/>
  <c r="W73" i="2"/>
  <c r="X73" i="2"/>
  <c r="V74" i="2"/>
  <c r="W74" i="2"/>
  <c r="X74" i="2"/>
  <c r="V75" i="2"/>
  <c r="W75" i="2"/>
  <c r="X75" i="2"/>
  <c r="V76" i="2"/>
  <c r="W76" i="2"/>
  <c r="X76" i="2"/>
  <c r="V77" i="2"/>
  <c r="W77" i="2"/>
  <c r="X77" i="2"/>
  <c r="V78" i="2"/>
  <c r="W78" i="2"/>
  <c r="X78" i="2"/>
  <c r="V79" i="2"/>
  <c r="W79" i="2"/>
  <c r="X79" i="2"/>
  <c r="V80" i="2"/>
  <c r="W80" i="2"/>
  <c r="X80" i="2"/>
  <c r="V81" i="2"/>
  <c r="W81" i="2"/>
  <c r="X81" i="2"/>
  <c r="V82" i="2"/>
  <c r="W82" i="2"/>
  <c r="X82" i="2"/>
  <c r="V83" i="2"/>
  <c r="W83" i="2"/>
  <c r="X83" i="2"/>
  <c r="V84" i="2"/>
  <c r="W84" i="2"/>
  <c r="X84" i="2"/>
  <c r="V85" i="2"/>
  <c r="W85" i="2"/>
  <c r="X85" i="2"/>
  <c r="V86" i="2"/>
  <c r="W86" i="2"/>
  <c r="X86" i="2"/>
  <c r="V87" i="2"/>
  <c r="W87" i="2"/>
  <c r="X87" i="2"/>
  <c r="V88" i="2"/>
  <c r="W88" i="2"/>
  <c r="X88" i="2"/>
  <c r="V89" i="2"/>
  <c r="W89" i="2"/>
  <c r="X89" i="2"/>
  <c r="V90" i="2"/>
  <c r="W90" i="2"/>
  <c r="X90" i="2"/>
  <c r="V91" i="2"/>
  <c r="W91" i="2"/>
  <c r="X91" i="2"/>
  <c r="V92" i="2"/>
  <c r="W92" i="2"/>
  <c r="X92" i="2"/>
  <c r="V93" i="2"/>
  <c r="W93" i="2"/>
  <c r="X93" i="2"/>
  <c r="V94" i="2"/>
  <c r="W94" i="2"/>
  <c r="X94" i="2"/>
  <c r="V95" i="2"/>
  <c r="W95" i="2"/>
  <c r="X95" i="2"/>
  <c r="V96" i="2"/>
  <c r="W96" i="2"/>
  <c r="X96" i="2"/>
  <c r="V97" i="2"/>
  <c r="W97" i="2"/>
  <c r="X97" i="2"/>
  <c r="V98" i="2"/>
  <c r="W98" i="2"/>
  <c r="X98" i="2"/>
  <c r="V99" i="2"/>
  <c r="W99" i="2"/>
  <c r="X99" i="2"/>
  <c r="V100" i="2"/>
  <c r="W100" i="2"/>
  <c r="X100" i="2"/>
  <c r="V101" i="2"/>
  <c r="W101" i="2"/>
  <c r="X101" i="2"/>
  <c r="V102" i="2"/>
  <c r="W102" i="2"/>
  <c r="X102" i="2"/>
  <c r="V103" i="2"/>
  <c r="W103" i="2"/>
  <c r="X103" i="2"/>
  <c r="V104" i="2"/>
  <c r="W104" i="2"/>
  <c r="X104" i="2"/>
  <c r="V105" i="2"/>
  <c r="W105" i="2"/>
  <c r="X105" i="2"/>
  <c r="V106" i="2"/>
  <c r="W106" i="2"/>
  <c r="X106" i="2"/>
  <c r="V107" i="2"/>
  <c r="W107" i="2"/>
  <c r="X107" i="2"/>
  <c r="V108" i="2"/>
  <c r="W108" i="2"/>
  <c r="X108" i="2"/>
  <c r="V109" i="2"/>
  <c r="W109" i="2"/>
  <c r="X109" i="2"/>
  <c r="V110" i="2"/>
  <c r="W110" i="2"/>
  <c r="X110" i="2"/>
  <c r="V111" i="2"/>
  <c r="W111" i="2"/>
  <c r="X111" i="2"/>
  <c r="V112" i="2"/>
  <c r="W112" i="2"/>
  <c r="X112" i="2"/>
  <c r="V113" i="2"/>
  <c r="W113" i="2"/>
  <c r="X113" i="2"/>
  <c r="V114" i="2"/>
  <c r="W114" i="2"/>
  <c r="X114" i="2"/>
  <c r="V115" i="2"/>
  <c r="W115" i="2"/>
  <c r="X115" i="2"/>
  <c r="V116" i="2"/>
  <c r="W116" i="2"/>
  <c r="X116" i="2"/>
  <c r="V117" i="2"/>
  <c r="W117" i="2"/>
  <c r="X117" i="2"/>
  <c r="V118" i="2"/>
  <c r="W118" i="2"/>
  <c r="X118" i="2"/>
  <c r="V119" i="2"/>
  <c r="W119" i="2"/>
  <c r="X119" i="2"/>
  <c r="V120" i="2"/>
  <c r="W120" i="2"/>
  <c r="X120" i="2"/>
  <c r="V121" i="2"/>
  <c r="W121" i="2"/>
  <c r="X121" i="2"/>
  <c r="V122" i="2"/>
  <c r="W122" i="2"/>
  <c r="X122" i="2"/>
  <c r="V123" i="2"/>
  <c r="W123" i="2"/>
  <c r="X123" i="2"/>
  <c r="V124" i="2"/>
  <c r="W124" i="2"/>
  <c r="X124" i="2"/>
  <c r="V125" i="2"/>
  <c r="W125" i="2"/>
  <c r="X125" i="2"/>
  <c r="V126" i="2"/>
  <c r="W126" i="2"/>
  <c r="X126" i="2"/>
  <c r="V127" i="2"/>
  <c r="W127" i="2"/>
  <c r="X127" i="2"/>
  <c r="V128" i="2"/>
  <c r="W128" i="2"/>
  <c r="X128" i="2"/>
  <c r="V129" i="2"/>
  <c r="W129" i="2"/>
  <c r="X129" i="2"/>
  <c r="V130" i="2"/>
  <c r="W130" i="2"/>
  <c r="X130" i="2"/>
  <c r="V131" i="2"/>
  <c r="W131" i="2"/>
  <c r="X131" i="2"/>
  <c r="V132" i="2"/>
  <c r="W132" i="2"/>
  <c r="X132" i="2"/>
  <c r="V133" i="2"/>
  <c r="W133" i="2"/>
  <c r="X133" i="2"/>
  <c r="V134" i="2"/>
  <c r="W134" i="2"/>
  <c r="X134" i="2"/>
  <c r="V135" i="2"/>
  <c r="W135" i="2"/>
  <c r="X135" i="2"/>
  <c r="V136" i="2"/>
  <c r="W136" i="2"/>
  <c r="X136" i="2"/>
  <c r="V137" i="2"/>
  <c r="W137" i="2"/>
  <c r="X137" i="2"/>
  <c r="V138" i="2"/>
  <c r="W138" i="2"/>
  <c r="X138" i="2"/>
  <c r="V139" i="2"/>
  <c r="W139" i="2"/>
  <c r="X139" i="2"/>
  <c r="V140" i="2"/>
  <c r="W140" i="2"/>
  <c r="X140" i="2"/>
  <c r="V141" i="2"/>
  <c r="W141" i="2"/>
  <c r="X141" i="2"/>
  <c r="V142" i="2"/>
  <c r="W142" i="2"/>
  <c r="X142" i="2"/>
  <c r="V143" i="2"/>
  <c r="W143" i="2"/>
  <c r="X143" i="2"/>
  <c r="V144" i="2"/>
  <c r="W144" i="2"/>
  <c r="X144" i="2"/>
  <c r="V145" i="2"/>
  <c r="W145" i="2"/>
  <c r="X145" i="2"/>
  <c r="V146" i="2"/>
  <c r="W146" i="2"/>
  <c r="X146" i="2"/>
  <c r="V147" i="2"/>
  <c r="W147" i="2"/>
  <c r="X147" i="2"/>
  <c r="V148" i="2"/>
  <c r="W148" i="2"/>
  <c r="X148" i="2"/>
  <c r="V149" i="2"/>
  <c r="W149" i="2"/>
  <c r="X149" i="2"/>
  <c r="V150" i="2"/>
  <c r="W150" i="2"/>
  <c r="X150" i="2"/>
  <c r="V151" i="2"/>
  <c r="W151" i="2"/>
  <c r="X151" i="2"/>
  <c r="V152" i="2"/>
  <c r="W152" i="2"/>
  <c r="X152" i="2"/>
  <c r="V153" i="2"/>
  <c r="W153" i="2"/>
  <c r="X153" i="2"/>
  <c r="V154" i="2"/>
  <c r="W154" i="2"/>
  <c r="X154" i="2"/>
  <c r="V155" i="2"/>
  <c r="W155" i="2"/>
  <c r="X155" i="2"/>
  <c r="V156" i="2"/>
  <c r="W156" i="2"/>
  <c r="X156" i="2"/>
  <c r="V157" i="2"/>
  <c r="W157" i="2"/>
  <c r="X157" i="2"/>
  <c r="V158" i="2"/>
  <c r="W158" i="2"/>
  <c r="X158" i="2"/>
  <c r="V159" i="2"/>
  <c r="W159" i="2"/>
  <c r="X159" i="2"/>
  <c r="V160" i="2"/>
  <c r="W160" i="2"/>
  <c r="X160" i="2"/>
  <c r="V161" i="2"/>
  <c r="W161" i="2"/>
  <c r="X161" i="2"/>
  <c r="V162" i="2"/>
  <c r="W162" i="2"/>
  <c r="X162" i="2"/>
  <c r="V163" i="2"/>
  <c r="W163" i="2"/>
  <c r="X163" i="2"/>
  <c r="V164" i="2"/>
  <c r="W164" i="2"/>
  <c r="X164" i="2"/>
  <c r="V165" i="2"/>
  <c r="W165" i="2"/>
  <c r="X165" i="2"/>
  <c r="V166" i="2"/>
  <c r="W166" i="2"/>
  <c r="X166" i="2"/>
  <c r="V167" i="2"/>
  <c r="W167" i="2"/>
  <c r="X167" i="2"/>
  <c r="V168" i="2"/>
  <c r="W168" i="2"/>
  <c r="X168" i="2"/>
  <c r="V169" i="2"/>
  <c r="W169" i="2"/>
  <c r="X169" i="2"/>
  <c r="V170" i="2"/>
  <c r="W170" i="2"/>
  <c r="X170" i="2"/>
  <c r="V171" i="2"/>
  <c r="W171" i="2"/>
  <c r="X171" i="2"/>
  <c r="V172" i="2"/>
  <c r="W172" i="2"/>
  <c r="X172" i="2"/>
  <c r="V173" i="2"/>
  <c r="W173" i="2"/>
  <c r="X173" i="2"/>
  <c r="V174" i="2"/>
  <c r="W174" i="2"/>
  <c r="X174" i="2"/>
  <c r="V175" i="2"/>
  <c r="W175" i="2"/>
  <c r="X175" i="2"/>
  <c r="V176" i="2"/>
  <c r="W176" i="2"/>
  <c r="X176" i="2"/>
  <c r="V177" i="2"/>
  <c r="W177" i="2"/>
  <c r="X177" i="2"/>
  <c r="V178" i="2"/>
  <c r="W178" i="2"/>
  <c r="X178" i="2"/>
  <c r="V179" i="2"/>
  <c r="W179" i="2"/>
  <c r="X179" i="2"/>
  <c r="V180" i="2"/>
  <c r="W180" i="2"/>
  <c r="X180" i="2"/>
  <c r="V181" i="2"/>
  <c r="W181" i="2"/>
  <c r="X181" i="2"/>
  <c r="V182" i="2"/>
  <c r="W182" i="2"/>
  <c r="X182" i="2"/>
  <c r="V183" i="2"/>
  <c r="W183" i="2"/>
  <c r="X183" i="2"/>
  <c r="V184" i="2"/>
  <c r="W184" i="2"/>
  <c r="X184" i="2"/>
  <c r="V185" i="2"/>
  <c r="W185" i="2"/>
  <c r="X185" i="2"/>
  <c r="V186" i="2"/>
  <c r="W186" i="2"/>
  <c r="X186" i="2"/>
  <c r="V187" i="2"/>
  <c r="W187" i="2"/>
  <c r="X187" i="2"/>
  <c r="V188" i="2"/>
  <c r="W188" i="2"/>
  <c r="X188" i="2"/>
  <c r="V189" i="2"/>
  <c r="W189" i="2"/>
  <c r="X189" i="2"/>
  <c r="V190" i="2"/>
  <c r="W190" i="2"/>
  <c r="X190" i="2"/>
  <c r="V191" i="2"/>
  <c r="W191" i="2"/>
  <c r="X191" i="2"/>
  <c r="V192" i="2"/>
  <c r="W192" i="2"/>
  <c r="X192" i="2"/>
  <c r="V193" i="2"/>
  <c r="W193" i="2"/>
  <c r="X193" i="2"/>
  <c r="V194" i="2"/>
  <c r="W194" i="2"/>
  <c r="X194" i="2"/>
  <c r="V195" i="2"/>
  <c r="W195" i="2"/>
  <c r="X195" i="2"/>
  <c r="V196" i="2"/>
  <c r="W196" i="2"/>
  <c r="X196" i="2"/>
  <c r="V197" i="2"/>
  <c r="W197" i="2"/>
  <c r="X197" i="2"/>
  <c r="V198" i="2"/>
  <c r="W198" i="2"/>
  <c r="X198" i="2"/>
  <c r="V199" i="2"/>
  <c r="W199" i="2"/>
  <c r="X199" i="2"/>
  <c r="V200" i="2"/>
  <c r="W200" i="2"/>
  <c r="X200" i="2"/>
  <c r="V201" i="2"/>
  <c r="W201" i="2"/>
  <c r="X201" i="2"/>
  <c r="V202" i="2"/>
  <c r="W202" i="2"/>
  <c r="X202" i="2"/>
  <c r="V203" i="2"/>
  <c r="W203" i="2"/>
  <c r="X203" i="2"/>
  <c r="V204" i="2"/>
  <c r="W204" i="2"/>
  <c r="X204" i="2"/>
  <c r="V205" i="2"/>
  <c r="W205" i="2"/>
  <c r="X205" i="2"/>
  <c r="V206" i="2"/>
  <c r="W206" i="2"/>
  <c r="X206" i="2"/>
  <c r="V207" i="2"/>
  <c r="W207" i="2"/>
  <c r="X207" i="2"/>
  <c r="V208" i="2"/>
  <c r="W208" i="2"/>
  <c r="X208" i="2"/>
  <c r="V209" i="2"/>
  <c r="W209" i="2"/>
  <c r="X209" i="2"/>
  <c r="V210" i="2"/>
  <c r="W210" i="2"/>
  <c r="X210" i="2"/>
  <c r="V211" i="2"/>
  <c r="W211" i="2"/>
  <c r="X211" i="2"/>
  <c r="V212" i="2"/>
  <c r="W212" i="2"/>
  <c r="X212" i="2"/>
  <c r="V213" i="2"/>
  <c r="W213" i="2"/>
  <c r="X213" i="2"/>
  <c r="V214" i="2"/>
  <c r="W214" i="2"/>
  <c r="X214" i="2"/>
  <c r="V215" i="2"/>
  <c r="W215" i="2"/>
  <c r="X215" i="2"/>
  <c r="V216" i="2"/>
  <c r="W216" i="2"/>
  <c r="X216" i="2"/>
  <c r="V217" i="2"/>
  <c r="W217" i="2"/>
  <c r="X217" i="2"/>
  <c r="V218" i="2"/>
  <c r="W218" i="2"/>
  <c r="X218" i="2"/>
  <c r="V219" i="2"/>
  <c r="W219" i="2"/>
  <c r="X219" i="2"/>
  <c r="V220" i="2"/>
  <c r="W220" i="2"/>
  <c r="X220" i="2"/>
  <c r="V221" i="2"/>
  <c r="W221" i="2"/>
  <c r="X221" i="2"/>
  <c r="V222" i="2"/>
  <c r="W222" i="2"/>
  <c r="X222" i="2"/>
  <c r="V223" i="2"/>
  <c r="W223" i="2"/>
  <c r="X223" i="2"/>
  <c r="V224" i="2"/>
  <c r="W224" i="2"/>
  <c r="X224" i="2"/>
  <c r="V225" i="2"/>
  <c r="W225" i="2"/>
  <c r="X225" i="2"/>
  <c r="V226" i="2"/>
  <c r="W226" i="2"/>
  <c r="X226" i="2"/>
  <c r="V227" i="2"/>
  <c r="W227" i="2"/>
  <c r="X227" i="2"/>
  <c r="V228" i="2"/>
  <c r="W228" i="2"/>
  <c r="X228" i="2"/>
  <c r="V229" i="2"/>
  <c r="W229" i="2"/>
  <c r="X229" i="2"/>
  <c r="V230" i="2"/>
  <c r="W230" i="2"/>
  <c r="X230" i="2"/>
  <c r="V231" i="2"/>
  <c r="W231" i="2"/>
  <c r="X231" i="2"/>
  <c r="V232" i="2"/>
  <c r="W232" i="2"/>
  <c r="X232" i="2"/>
  <c r="V233" i="2"/>
  <c r="W233" i="2"/>
  <c r="X233" i="2"/>
  <c r="V234" i="2"/>
  <c r="W234" i="2"/>
  <c r="X234" i="2"/>
  <c r="V235" i="2"/>
  <c r="W235" i="2"/>
  <c r="X235" i="2"/>
  <c r="V236" i="2"/>
  <c r="W236" i="2"/>
  <c r="X236" i="2"/>
  <c r="V237" i="2"/>
  <c r="W237" i="2"/>
  <c r="X237" i="2"/>
  <c r="V238" i="2"/>
  <c r="W238" i="2"/>
  <c r="X238" i="2"/>
  <c r="V239" i="2"/>
  <c r="W239" i="2"/>
  <c r="X239" i="2"/>
  <c r="V240" i="2"/>
  <c r="W240" i="2"/>
  <c r="X240" i="2"/>
  <c r="V241" i="2"/>
  <c r="W241" i="2"/>
  <c r="X241" i="2"/>
  <c r="V242" i="2"/>
  <c r="W242" i="2"/>
  <c r="X242" i="2"/>
  <c r="V243" i="2"/>
  <c r="W243" i="2"/>
  <c r="X243" i="2"/>
  <c r="V244" i="2"/>
  <c r="W244" i="2"/>
  <c r="X244" i="2"/>
  <c r="V245" i="2"/>
  <c r="W245" i="2"/>
  <c r="X245" i="2"/>
  <c r="V246" i="2"/>
  <c r="W246" i="2"/>
  <c r="X246" i="2"/>
  <c r="V247" i="2"/>
  <c r="W247" i="2"/>
  <c r="X247" i="2"/>
  <c r="V248" i="2"/>
  <c r="W248" i="2"/>
  <c r="X248" i="2"/>
  <c r="V249" i="2"/>
  <c r="W249" i="2"/>
  <c r="X249" i="2"/>
  <c r="V250" i="2"/>
  <c r="W250" i="2"/>
  <c r="X250" i="2"/>
  <c r="V251" i="2"/>
  <c r="W251" i="2"/>
  <c r="X251" i="2"/>
  <c r="V252" i="2"/>
  <c r="W252" i="2"/>
  <c r="X252" i="2"/>
  <c r="V253" i="2"/>
  <c r="W253" i="2"/>
  <c r="X253" i="2"/>
  <c r="V254" i="2"/>
  <c r="W254" i="2"/>
  <c r="X254" i="2"/>
  <c r="V255" i="2"/>
  <c r="W255" i="2"/>
  <c r="X255" i="2"/>
  <c r="V256" i="2"/>
  <c r="W256" i="2"/>
  <c r="X256" i="2"/>
  <c r="V257" i="2"/>
  <c r="W257" i="2"/>
  <c r="X257" i="2"/>
  <c r="V258" i="2"/>
  <c r="W258" i="2"/>
  <c r="X258" i="2"/>
  <c r="V259" i="2"/>
  <c r="W259" i="2"/>
  <c r="X259" i="2"/>
  <c r="V260" i="2"/>
  <c r="W260" i="2"/>
  <c r="X260" i="2"/>
  <c r="V261" i="2"/>
  <c r="W261" i="2"/>
  <c r="X261" i="2"/>
  <c r="V262" i="2"/>
  <c r="W262" i="2"/>
  <c r="X262" i="2"/>
  <c r="V263" i="2"/>
  <c r="W263" i="2"/>
  <c r="X263" i="2"/>
  <c r="V264" i="2"/>
  <c r="W264" i="2"/>
  <c r="X264" i="2"/>
  <c r="V265" i="2"/>
  <c r="W265" i="2"/>
  <c r="X265" i="2"/>
  <c r="V266" i="2"/>
  <c r="W266" i="2"/>
  <c r="X266" i="2"/>
  <c r="V267" i="2"/>
  <c r="W267" i="2"/>
  <c r="X267" i="2"/>
  <c r="V268" i="2"/>
  <c r="W268" i="2"/>
  <c r="X268" i="2"/>
  <c r="V269" i="2"/>
  <c r="W269" i="2"/>
  <c r="X269" i="2"/>
  <c r="V270" i="2"/>
  <c r="W270" i="2"/>
  <c r="X270" i="2"/>
  <c r="V271" i="2"/>
  <c r="W271" i="2"/>
  <c r="X271" i="2"/>
  <c r="V272" i="2"/>
  <c r="W272" i="2"/>
  <c r="X272" i="2"/>
  <c r="V273" i="2"/>
  <c r="W273" i="2"/>
  <c r="X273" i="2"/>
  <c r="V274" i="2"/>
  <c r="W274" i="2"/>
  <c r="X274" i="2"/>
  <c r="V275" i="2"/>
  <c r="W275" i="2"/>
  <c r="X275" i="2"/>
  <c r="V276" i="2"/>
  <c r="W276" i="2"/>
  <c r="X276" i="2"/>
  <c r="V277" i="2"/>
  <c r="W277" i="2"/>
  <c r="X277" i="2"/>
  <c r="V278" i="2"/>
  <c r="W278" i="2"/>
  <c r="X278" i="2"/>
  <c r="V279" i="2"/>
  <c r="W279" i="2"/>
  <c r="X279" i="2"/>
  <c r="V280" i="2"/>
  <c r="W280" i="2"/>
  <c r="X280" i="2"/>
  <c r="V281" i="2"/>
  <c r="W281" i="2"/>
  <c r="X281" i="2"/>
  <c r="V282" i="2"/>
  <c r="W282" i="2"/>
  <c r="X282" i="2"/>
  <c r="V283" i="2"/>
  <c r="W283" i="2"/>
  <c r="X283" i="2"/>
  <c r="V284" i="2"/>
  <c r="W284" i="2"/>
  <c r="X284" i="2"/>
  <c r="V285" i="2"/>
  <c r="W285" i="2"/>
  <c r="X285" i="2"/>
  <c r="V286" i="2"/>
  <c r="W286" i="2"/>
  <c r="X286" i="2"/>
  <c r="V287" i="2"/>
  <c r="W287" i="2"/>
  <c r="X287" i="2"/>
  <c r="V288" i="2"/>
  <c r="W288" i="2"/>
  <c r="X288" i="2"/>
  <c r="V289" i="2"/>
  <c r="W289" i="2"/>
  <c r="X289" i="2"/>
  <c r="V290" i="2"/>
  <c r="W290" i="2"/>
  <c r="X290" i="2"/>
  <c r="V291" i="2"/>
  <c r="W291" i="2"/>
  <c r="X291" i="2"/>
  <c r="V292" i="2"/>
  <c r="W292" i="2"/>
  <c r="X292" i="2"/>
  <c r="V293" i="2"/>
  <c r="W293" i="2"/>
  <c r="X293" i="2"/>
  <c r="V294" i="2"/>
  <c r="W294" i="2"/>
  <c r="X294" i="2"/>
  <c r="V295" i="2"/>
  <c r="W295" i="2"/>
  <c r="X295" i="2"/>
  <c r="V296" i="2"/>
  <c r="W296" i="2"/>
  <c r="X296" i="2"/>
  <c r="V297" i="2"/>
  <c r="W297" i="2"/>
  <c r="X297" i="2"/>
  <c r="V298" i="2"/>
  <c r="W298" i="2"/>
  <c r="X298" i="2"/>
  <c r="V299" i="2"/>
  <c r="W299" i="2"/>
  <c r="X299" i="2"/>
  <c r="V300" i="2"/>
  <c r="W300" i="2"/>
  <c r="X300" i="2"/>
  <c r="V301" i="2"/>
  <c r="W301" i="2"/>
  <c r="X301" i="2"/>
  <c r="V302" i="2"/>
  <c r="W302" i="2"/>
  <c r="X302" i="2"/>
  <c r="V303" i="2"/>
  <c r="W303" i="2"/>
  <c r="X303" i="2"/>
  <c r="V304" i="2"/>
  <c r="W304" i="2"/>
  <c r="X304" i="2"/>
  <c r="V305" i="2"/>
  <c r="W305" i="2"/>
  <c r="X305" i="2"/>
  <c r="V306" i="2"/>
  <c r="W306" i="2"/>
  <c r="X306" i="2"/>
  <c r="V307" i="2"/>
  <c r="W307" i="2"/>
  <c r="X307" i="2"/>
  <c r="V308" i="2"/>
  <c r="W308" i="2"/>
  <c r="X308" i="2"/>
  <c r="V309" i="2"/>
  <c r="W309" i="2"/>
  <c r="X309" i="2"/>
  <c r="V310" i="2"/>
  <c r="W310" i="2"/>
  <c r="X310" i="2"/>
  <c r="V311" i="2"/>
  <c r="W311" i="2"/>
  <c r="X311" i="2"/>
  <c r="V312" i="2"/>
  <c r="W312" i="2"/>
  <c r="X312" i="2"/>
  <c r="V313" i="2"/>
  <c r="W313" i="2"/>
  <c r="X313" i="2"/>
  <c r="V314" i="2"/>
  <c r="W314" i="2"/>
  <c r="X314" i="2"/>
  <c r="V315" i="2"/>
  <c r="W315" i="2"/>
  <c r="X315" i="2"/>
  <c r="V316" i="2"/>
  <c r="W316" i="2"/>
  <c r="X316" i="2"/>
  <c r="V317" i="2"/>
  <c r="W317" i="2"/>
  <c r="X317" i="2"/>
  <c r="V318" i="2"/>
  <c r="W318" i="2"/>
  <c r="X318" i="2"/>
  <c r="V319" i="2"/>
  <c r="W319" i="2"/>
  <c r="X319" i="2"/>
  <c r="V320" i="2"/>
  <c r="W320" i="2"/>
  <c r="X320" i="2"/>
  <c r="V321" i="2"/>
  <c r="W321" i="2"/>
  <c r="X321" i="2"/>
  <c r="V322" i="2"/>
  <c r="W322" i="2"/>
  <c r="X322" i="2"/>
  <c r="V323" i="2"/>
  <c r="W323" i="2"/>
  <c r="X323" i="2"/>
  <c r="V324" i="2"/>
  <c r="W324" i="2"/>
  <c r="X324" i="2"/>
  <c r="V325" i="2"/>
  <c r="W325" i="2"/>
  <c r="X325" i="2"/>
  <c r="V326" i="2"/>
  <c r="W326" i="2"/>
  <c r="X326" i="2"/>
  <c r="V327" i="2"/>
  <c r="W327" i="2"/>
  <c r="X327" i="2"/>
  <c r="V328" i="2"/>
  <c r="W328" i="2"/>
  <c r="X328" i="2"/>
  <c r="V329" i="2"/>
  <c r="W329" i="2"/>
  <c r="X329" i="2"/>
  <c r="V330" i="2"/>
  <c r="W330" i="2"/>
  <c r="X330" i="2"/>
  <c r="V331" i="2"/>
  <c r="W331" i="2"/>
  <c r="X331" i="2"/>
  <c r="V332" i="2"/>
  <c r="W332" i="2"/>
  <c r="X332" i="2"/>
  <c r="V333" i="2"/>
  <c r="W333" i="2"/>
  <c r="X333" i="2"/>
  <c r="V334" i="2"/>
  <c r="W334" i="2"/>
  <c r="X334" i="2"/>
  <c r="V335" i="2"/>
  <c r="W335" i="2"/>
  <c r="X335" i="2"/>
  <c r="V336" i="2"/>
  <c r="W336" i="2"/>
  <c r="X336" i="2"/>
  <c r="V337" i="2"/>
  <c r="W337" i="2"/>
  <c r="X337" i="2"/>
  <c r="V338" i="2"/>
  <c r="W338" i="2"/>
  <c r="X338" i="2"/>
  <c r="V339" i="2"/>
  <c r="W339" i="2"/>
  <c r="X339" i="2"/>
  <c r="V340" i="2"/>
  <c r="W340" i="2"/>
  <c r="X340" i="2"/>
  <c r="V341" i="2"/>
  <c r="W341" i="2"/>
  <c r="X341" i="2"/>
  <c r="V342" i="2"/>
  <c r="W342" i="2"/>
  <c r="X342" i="2"/>
  <c r="V343" i="2"/>
  <c r="W343" i="2"/>
  <c r="X343" i="2"/>
  <c r="V344" i="2"/>
  <c r="W344" i="2"/>
  <c r="X344" i="2"/>
  <c r="V345" i="2"/>
  <c r="W345" i="2"/>
  <c r="X345" i="2"/>
  <c r="V346" i="2"/>
  <c r="W346" i="2"/>
  <c r="X346" i="2"/>
  <c r="V347" i="2"/>
  <c r="W347" i="2"/>
  <c r="X347" i="2"/>
  <c r="V348" i="2"/>
  <c r="W348" i="2"/>
  <c r="X348" i="2"/>
  <c r="V349" i="2"/>
  <c r="W349" i="2"/>
  <c r="X349" i="2"/>
  <c r="V350" i="2"/>
  <c r="W350" i="2"/>
  <c r="X350" i="2"/>
  <c r="V351" i="2"/>
  <c r="W351" i="2"/>
  <c r="X351" i="2"/>
  <c r="V352" i="2"/>
  <c r="W352" i="2"/>
  <c r="X352" i="2"/>
  <c r="V353" i="2"/>
  <c r="W353" i="2"/>
  <c r="X353" i="2"/>
  <c r="V354" i="2"/>
  <c r="W354" i="2"/>
  <c r="X354" i="2"/>
  <c r="V355" i="2"/>
  <c r="W355" i="2"/>
  <c r="X355" i="2"/>
  <c r="V356" i="2"/>
  <c r="W356" i="2"/>
  <c r="X356" i="2"/>
  <c r="V357" i="2"/>
  <c r="W357" i="2"/>
  <c r="X357" i="2"/>
  <c r="V358" i="2"/>
  <c r="W358" i="2"/>
  <c r="X358" i="2"/>
  <c r="V359" i="2"/>
  <c r="W359" i="2"/>
  <c r="X359" i="2"/>
  <c r="V360" i="2"/>
  <c r="W360" i="2"/>
  <c r="X360" i="2"/>
  <c r="V361" i="2"/>
  <c r="W361" i="2"/>
  <c r="X361" i="2"/>
  <c r="V362" i="2"/>
  <c r="W362" i="2"/>
  <c r="X362" i="2"/>
  <c r="V363" i="2"/>
  <c r="W363" i="2"/>
  <c r="X363" i="2"/>
  <c r="V364" i="2"/>
  <c r="W364" i="2"/>
  <c r="X364" i="2"/>
  <c r="V365" i="2"/>
  <c r="W365" i="2"/>
  <c r="X365" i="2"/>
  <c r="V366" i="2"/>
  <c r="W366" i="2"/>
  <c r="X366" i="2"/>
  <c r="V367" i="2"/>
  <c r="W367" i="2"/>
  <c r="X367" i="2"/>
  <c r="V368" i="2"/>
  <c r="W368" i="2"/>
  <c r="X368" i="2"/>
  <c r="V369" i="2"/>
  <c r="W369" i="2"/>
  <c r="X369" i="2"/>
  <c r="V370" i="2"/>
  <c r="W370" i="2"/>
  <c r="X370" i="2"/>
  <c r="V371" i="2"/>
  <c r="W371" i="2"/>
  <c r="X371" i="2"/>
  <c r="V372" i="2"/>
  <c r="W372" i="2"/>
  <c r="X372" i="2"/>
  <c r="V373" i="2"/>
  <c r="W373" i="2"/>
  <c r="X373" i="2"/>
  <c r="V374" i="2"/>
  <c r="W374" i="2"/>
  <c r="X374" i="2"/>
  <c r="V375" i="2"/>
  <c r="W375" i="2"/>
  <c r="X375" i="2"/>
  <c r="V376" i="2"/>
  <c r="W376" i="2"/>
  <c r="X376" i="2"/>
  <c r="V377" i="2"/>
  <c r="W377" i="2"/>
  <c r="X377" i="2"/>
  <c r="V378" i="2"/>
  <c r="W378" i="2"/>
  <c r="X378" i="2"/>
  <c r="V379" i="2"/>
  <c r="W379" i="2"/>
  <c r="X379" i="2"/>
  <c r="V380" i="2"/>
  <c r="W380" i="2"/>
  <c r="X380" i="2"/>
  <c r="V381" i="2"/>
  <c r="W381" i="2"/>
  <c r="X381" i="2"/>
  <c r="V382" i="2"/>
  <c r="W382" i="2"/>
  <c r="X382" i="2"/>
  <c r="V383" i="2"/>
  <c r="W383" i="2"/>
  <c r="X383" i="2"/>
  <c r="V384" i="2"/>
  <c r="W384" i="2"/>
  <c r="X384" i="2"/>
  <c r="V385" i="2"/>
  <c r="W385" i="2"/>
  <c r="X385" i="2"/>
  <c r="V386" i="2"/>
  <c r="W386" i="2"/>
  <c r="X386" i="2"/>
  <c r="V387" i="2"/>
  <c r="W387" i="2"/>
  <c r="X387" i="2"/>
  <c r="V388" i="2"/>
  <c r="W388" i="2"/>
  <c r="X388" i="2"/>
  <c r="V389" i="2"/>
  <c r="W389" i="2"/>
  <c r="X389" i="2"/>
  <c r="V390" i="2"/>
  <c r="W390" i="2"/>
  <c r="X390" i="2"/>
  <c r="V391" i="2"/>
  <c r="W391" i="2"/>
  <c r="X391" i="2"/>
  <c r="V392" i="2"/>
  <c r="W392" i="2"/>
  <c r="X392" i="2"/>
  <c r="V393" i="2"/>
  <c r="W393" i="2"/>
  <c r="X393" i="2"/>
  <c r="V394" i="2"/>
  <c r="W394" i="2"/>
  <c r="X394" i="2"/>
  <c r="V395" i="2"/>
  <c r="W395" i="2"/>
  <c r="X395" i="2"/>
  <c r="V396" i="2"/>
  <c r="W396" i="2"/>
  <c r="X396" i="2"/>
  <c r="V397" i="2"/>
  <c r="W397" i="2"/>
  <c r="X397" i="2"/>
  <c r="V398" i="2"/>
  <c r="W398" i="2"/>
  <c r="X398" i="2"/>
  <c r="V399" i="2"/>
  <c r="W399" i="2"/>
  <c r="X399" i="2"/>
  <c r="V400" i="2"/>
  <c r="W400" i="2"/>
  <c r="X400" i="2"/>
  <c r="V401" i="2"/>
  <c r="W401" i="2"/>
  <c r="X401" i="2"/>
  <c r="V402" i="2"/>
  <c r="W402" i="2"/>
  <c r="X402" i="2"/>
  <c r="V403" i="2"/>
  <c r="W403" i="2"/>
  <c r="X403" i="2"/>
  <c r="V404" i="2"/>
  <c r="W404" i="2"/>
  <c r="X404" i="2"/>
  <c r="V405" i="2"/>
  <c r="W405" i="2"/>
  <c r="X405" i="2"/>
  <c r="V406" i="2"/>
  <c r="W406" i="2"/>
  <c r="X406" i="2"/>
  <c r="V407" i="2"/>
  <c r="W407" i="2"/>
  <c r="X407" i="2"/>
  <c r="V408" i="2"/>
  <c r="W408" i="2"/>
  <c r="X408" i="2"/>
  <c r="V409" i="2"/>
  <c r="W409" i="2"/>
  <c r="X409" i="2"/>
  <c r="V410" i="2"/>
  <c r="W410" i="2"/>
  <c r="X410" i="2"/>
  <c r="V411" i="2"/>
  <c r="W411" i="2"/>
  <c r="X411" i="2"/>
  <c r="V412" i="2"/>
  <c r="W412" i="2"/>
  <c r="X412" i="2"/>
  <c r="V413" i="2"/>
  <c r="W413" i="2"/>
  <c r="X413" i="2"/>
  <c r="V414" i="2"/>
  <c r="W414" i="2"/>
  <c r="X414" i="2"/>
  <c r="V415" i="2"/>
  <c r="W415" i="2"/>
  <c r="X415" i="2"/>
  <c r="V416" i="2"/>
  <c r="W416" i="2"/>
  <c r="X416" i="2"/>
  <c r="V417" i="2"/>
  <c r="W417" i="2"/>
  <c r="X417" i="2"/>
  <c r="V418" i="2"/>
  <c r="W418" i="2"/>
  <c r="X418" i="2"/>
  <c r="V419" i="2"/>
  <c r="W419" i="2"/>
  <c r="X419" i="2"/>
  <c r="V420" i="2"/>
  <c r="W420" i="2"/>
  <c r="X420" i="2"/>
  <c r="V421" i="2"/>
  <c r="W421" i="2"/>
  <c r="X421" i="2"/>
  <c r="V422" i="2"/>
  <c r="W422" i="2"/>
  <c r="X422" i="2"/>
  <c r="V423" i="2"/>
  <c r="W423" i="2"/>
  <c r="X423" i="2"/>
  <c r="V424" i="2"/>
  <c r="W424" i="2"/>
  <c r="X424" i="2"/>
  <c r="V425" i="2"/>
  <c r="W425" i="2"/>
  <c r="X425" i="2"/>
  <c r="V426" i="2"/>
  <c r="W426" i="2"/>
  <c r="X426" i="2"/>
  <c r="V427" i="2"/>
  <c r="W427" i="2"/>
  <c r="X427" i="2"/>
  <c r="V428" i="2"/>
  <c r="W428" i="2"/>
  <c r="X428" i="2"/>
  <c r="V429" i="2"/>
  <c r="W429" i="2"/>
  <c r="X429" i="2"/>
  <c r="V430" i="2"/>
  <c r="W430" i="2"/>
  <c r="X430" i="2"/>
  <c r="V431" i="2"/>
  <c r="W431" i="2"/>
  <c r="X431" i="2"/>
  <c r="V432" i="2"/>
  <c r="W432" i="2"/>
  <c r="X432" i="2"/>
  <c r="V433" i="2"/>
  <c r="W433" i="2"/>
  <c r="X433" i="2"/>
  <c r="V434" i="2"/>
  <c r="W434" i="2"/>
  <c r="X434" i="2"/>
  <c r="V435" i="2"/>
  <c r="W435" i="2"/>
  <c r="X435" i="2"/>
  <c r="V436" i="2"/>
  <c r="W436" i="2"/>
  <c r="X436" i="2"/>
  <c r="V437" i="2"/>
  <c r="W437" i="2"/>
  <c r="X437" i="2"/>
  <c r="V438" i="2"/>
  <c r="W438" i="2"/>
  <c r="X438" i="2"/>
  <c r="V439" i="2"/>
  <c r="W439" i="2"/>
  <c r="X439" i="2"/>
  <c r="V440" i="2"/>
  <c r="W440" i="2"/>
  <c r="X440" i="2"/>
  <c r="V441" i="2"/>
  <c r="W441" i="2"/>
  <c r="X441" i="2"/>
  <c r="V442" i="2"/>
  <c r="W442" i="2"/>
  <c r="X442" i="2"/>
  <c r="V443" i="2"/>
  <c r="W443" i="2"/>
  <c r="X443" i="2"/>
  <c r="V444" i="2"/>
  <c r="W444" i="2"/>
  <c r="X444" i="2"/>
  <c r="V445" i="2"/>
  <c r="W445" i="2"/>
  <c r="X445" i="2"/>
  <c r="V446" i="2"/>
  <c r="W446" i="2"/>
  <c r="X446" i="2"/>
  <c r="V447" i="2"/>
  <c r="W447" i="2"/>
  <c r="X447" i="2"/>
  <c r="V448" i="2"/>
  <c r="W448" i="2"/>
  <c r="X448" i="2"/>
  <c r="V449" i="2"/>
  <c r="W449" i="2"/>
  <c r="X449" i="2"/>
  <c r="V450" i="2"/>
  <c r="W450" i="2"/>
  <c r="X450" i="2"/>
  <c r="V451" i="2"/>
  <c r="W451" i="2"/>
  <c r="X451" i="2"/>
  <c r="V452" i="2"/>
  <c r="W452" i="2"/>
  <c r="X452" i="2"/>
  <c r="V453" i="2"/>
  <c r="W453" i="2"/>
  <c r="X453" i="2"/>
  <c r="V454" i="2"/>
  <c r="W454" i="2"/>
  <c r="X454" i="2"/>
  <c r="V455" i="2"/>
  <c r="W455" i="2"/>
  <c r="X455" i="2"/>
  <c r="V456" i="2"/>
  <c r="W456" i="2"/>
  <c r="X456" i="2"/>
  <c r="V457" i="2"/>
  <c r="W457" i="2"/>
  <c r="X457" i="2"/>
  <c r="V458" i="2"/>
  <c r="W458" i="2"/>
  <c r="X458" i="2"/>
  <c r="V459" i="2"/>
  <c r="W459" i="2"/>
  <c r="X459" i="2"/>
  <c r="V460" i="2"/>
  <c r="W460" i="2"/>
  <c r="X460" i="2"/>
  <c r="V461" i="2"/>
  <c r="W461" i="2"/>
  <c r="X461" i="2"/>
  <c r="V462" i="2"/>
  <c r="W462" i="2"/>
  <c r="X462" i="2"/>
  <c r="V463" i="2"/>
  <c r="W463" i="2"/>
  <c r="X463" i="2"/>
  <c r="V464" i="2"/>
  <c r="W464" i="2"/>
  <c r="X464" i="2"/>
  <c r="V465" i="2"/>
  <c r="W465" i="2"/>
  <c r="X465" i="2"/>
  <c r="V466" i="2"/>
  <c r="W466" i="2"/>
  <c r="X466" i="2"/>
  <c r="V467" i="2"/>
  <c r="W467" i="2"/>
  <c r="X467" i="2"/>
  <c r="V468" i="2"/>
  <c r="W468" i="2"/>
  <c r="X468" i="2"/>
  <c r="V469" i="2"/>
  <c r="W469" i="2"/>
  <c r="X469" i="2"/>
  <c r="V470" i="2"/>
  <c r="W470" i="2"/>
  <c r="X470" i="2"/>
  <c r="V471" i="2"/>
  <c r="W471" i="2"/>
  <c r="X471" i="2"/>
  <c r="V472" i="2"/>
  <c r="W472" i="2"/>
  <c r="X472" i="2"/>
  <c r="V473" i="2"/>
  <c r="W473" i="2"/>
  <c r="X473" i="2"/>
  <c r="V474" i="2"/>
  <c r="W474" i="2"/>
  <c r="X474" i="2"/>
  <c r="V475" i="2"/>
  <c r="W475" i="2"/>
  <c r="X475" i="2"/>
  <c r="V476" i="2"/>
  <c r="W476" i="2"/>
  <c r="X476" i="2"/>
  <c r="V477" i="2"/>
  <c r="W477" i="2"/>
  <c r="X477" i="2"/>
  <c r="V478" i="2"/>
  <c r="W478" i="2"/>
  <c r="X478" i="2"/>
  <c r="V479" i="2"/>
  <c r="W479" i="2"/>
  <c r="X479" i="2"/>
  <c r="V480" i="2"/>
  <c r="W480" i="2"/>
  <c r="X480" i="2"/>
  <c r="V481" i="2"/>
  <c r="W481" i="2"/>
  <c r="X481" i="2"/>
  <c r="V482" i="2"/>
  <c r="W482" i="2"/>
  <c r="X482" i="2"/>
  <c r="V483" i="2"/>
  <c r="W483" i="2"/>
  <c r="X483" i="2"/>
  <c r="V484" i="2"/>
  <c r="W484" i="2"/>
  <c r="X484" i="2"/>
  <c r="V485" i="2"/>
  <c r="W485" i="2"/>
  <c r="X485" i="2"/>
  <c r="V486" i="2"/>
  <c r="W486" i="2"/>
  <c r="X486" i="2"/>
  <c r="V487" i="2"/>
  <c r="W487" i="2"/>
  <c r="X487" i="2"/>
  <c r="V488" i="2"/>
  <c r="W488" i="2"/>
  <c r="X488" i="2"/>
  <c r="V489" i="2"/>
  <c r="W489" i="2"/>
  <c r="X489" i="2"/>
  <c r="V490" i="2"/>
  <c r="W490" i="2"/>
  <c r="X490" i="2"/>
  <c r="V491" i="2"/>
  <c r="W491" i="2"/>
  <c r="X491" i="2"/>
  <c r="V492" i="2"/>
  <c r="W492" i="2"/>
  <c r="X492" i="2"/>
  <c r="V493" i="2"/>
  <c r="W493" i="2"/>
  <c r="X493" i="2"/>
  <c r="V494" i="2"/>
  <c r="W494" i="2"/>
  <c r="X494" i="2"/>
  <c r="V495" i="2"/>
  <c r="W495" i="2"/>
  <c r="X495" i="2"/>
  <c r="V496" i="2"/>
  <c r="W496" i="2"/>
  <c r="X496" i="2"/>
  <c r="V497" i="2"/>
  <c r="W497" i="2"/>
  <c r="X497" i="2"/>
  <c r="V498" i="2"/>
  <c r="W498" i="2"/>
  <c r="X498" i="2"/>
  <c r="V499" i="2"/>
  <c r="W499" i="2"/>
  <c r="X499" i="2"/>
  <c r="V500" i="2"/>
  <c r="W500" i="2"/>
  <c r="X500" i="2"/>
  <c r="V501" i="2"/>
  <c r="W501" i="2"/>
  <c r="X501" i="2"/>
  <c r="V502" i="2"/>
  <c r="W502" i="2"/>
  <c r="X502" i="2"/>
  <c r="V503" i="2"/>
  <c r="W503" i="2"/>
  <c r="X503" i="2"/>
  <c r="V504" i="2"/>
  <c r="W504" i="2"/>
  <c r="X504" i="2"/>
  <c r="V505" i="2"/>
  <c r="W505" i="2"/>
  <c r="X505" i="2"/>
  <c r="V506" i="2"/>
  <c r="W506" i="2"/>
  <c r="X506" i="2"/>
  <c r="V507" i="2"/>
  <c r="W507" i="2"/>
  <c r="X507" i="2"/>
  <c r="V508" i="2"/>
  <c r="W508" i="2"/>
  <c r="X508" i="2"/>
  <c r="V509" i="2"/>
  <c r="W509" i="2"/>
  <c r="X509" i="2"/>
  <c r="V510" i="2"/>
  <c r="W510" i="2"/>
  <c r="X510" i="2"/>
  <c r="V511" i="2"/>
  <c r="W511" i="2"/>
  <c r="X511" i="2"/>
  <c r="V512" i="2"/>
  <c r="W512" i="2"/>
  <c r="X512" i="2"/>
  <c r="V513" i="2"/>
  <c r="W513" i="2"/>
  <c r="X513" i="2"/>
  <c r="V514" i="2"/>
  <c r="W514" i="2"/>
  <c r="X514" i="2"/>
  <c r="V515" i="2"/>
  <c r="W515" i="2"/>
  <c r="X515" i="2"/>
  <c r="V516" i="2"/>
  <c r="W516" i="2"/>
  <c r="X516" i="2"/>
  <c r="V517" i="2"/>
  <c r="W517" i="2"/>
  <c r="X517" i="2"/>
  <c r="V518" i="2"/>
  <c r="W518" i="2"/>
  <c r="X518" i="2"/>
  <c r="V519" i="2"/>
  <c r="W519" i="2"/>
  <c r="X519" i="2"/>
  <c r="V520" i="2"/>
  <c r="W520" i="2"/>
  <c r="X520" i="2"/>
  <c r="V521" i="2"/>
  <c r="W521" i="2"/>
  <c r="X521" i="2"/>
  <c r="V522" i="2"/>
  <c r="W522" i="2"/>
  <c r="X522" i="2"/>
  <c r="V523" i="2"/>
  <c r="W523" i="2"/>
  <c r="X523" i="2"/>
  <c r="V524" i="2"/>
  <c r="W524" i="2"/>
  <c r="X524" i="2"/>
  <c r="V525" i="2"/>
  <c r="W525" i="2"/>
  <c r="X525" i="2"/>
  <c r="V526" i="2"/>
  <c r="W526" i="2"/>
  <c r="X526" i="2"/>
  <c r="V527" i="2"/>
  <c r="W527" i="2"/>
  <c r="X527" i="2"/>
  <c r="V528" i="2"/>
  <c r="W528" i="2"/>
  <c r="X528" i="2"/>
  <c r="V529" i="2"/>
  <c r="W529" i="2"/>
  <c r="X529" i="2"/>
  <c r="V530" i="2"/>
  <c r="W530" i="2"/>
  <c r="X530" i="2"/>
  <c r="V531" i="2"/>
  <c r="W531" i="2"/>
  <c r="X531" i="2"/>
  <c r="V532" i="2"/>
  <c r="W532" i="2"/>
  <c r="X532" i="2"/>
  <c r="V533" i="2"/>
  <c r="W533" i="2"/>
  <c r="X533" i="2"/>
  <c r="V534" i="2"/>
  <c r="W534" i="2"/>
  <c r="X534" i="2"/>
  <c r="V535" i="2"/>
  <c r="W535" i="2"/>
  <c r="X535" i="2"/>
  <c r="V536" i="2"/>
  <c r="W536" i="2"/>
  <c r="X536" i="2"/>
  <c r="V537" i="2"/>
  <c r="W537" i="2"/>
  <c r="X537" i="2"/>
  <c r="V538" i="2"/>
  <c r="W538" i="2"/>
  <c r="X538" i="2"/>
  <c r="V539" i="2"/>
  <c r="W539" i="2"/>
  <c r="X539" i="2"/>
  <c r="V540" i="2"/>
  <c r="W540" i="2"/>
  <c r="X540" i="2"/>
  <c r="V541" i="2"/>
  <c r="W541" i="2"/>
  <c r="X541" i="2"/>
  <c r="V542" i="2"/>
  <c r="W542" i="2"/>
  <c r="X542" i="2"/>
  <c r="V543" i="2"/>
  <c r="W543" i="2"/>
  <c r="X543" i="2"/>
  <c r="V544" i="2"/>
  <c r="W544" i="2"/>
  <c r="X544" i="2"/>
  <c r="V545" i="2"/>
  <c r="W545" i="2"/>
  <c r="X545" i="2"/>
  <c r="V546" i="2"/>
  <c r="W546" i="2"/>
  <c r="X546" i="2"/>
  <c r="V547" i="2"/>
  <c r="W547" i="2"/>
  <c r="X547" i="2"/>
  <c r="V548" i="2"/>
  <c r="W548" i="2"/>
  <c r="X548" i="2"/>
  <c r="V549" i="2"/>
  <c r="W549" i="2"/>
  <c r="X549" i="2"/>
  <c r="V550" i="2"/>
  <c r="W550" i="2"/>
  <c r="X550" i="2"/>
  <c r="V551" i="2"/>
  <c r="W551" i="2"/>
  <c r="X551" i="2"/>
  <c r="V552" i="2"/>
  <c r="W552" i="2"/>
  <c r="X552" i="2"/>
  <c r="V553" i="2"/>
  <c r="W553" i="2"/>
  <c r="X553" i="2"/>
  <c r="V554" i="2"/>
  <c r="W554" i="2"/>
  <c r="X554" i="2"/>
  <c r="V555" i="2"/>
  <c r="W555" i="2"/>
  <c r="X555" i="2"/>
  <c r="V556" i="2"/>
  <c r="W556" i="2"/>
  <c r="X556" i="2"/>
  <c r="V557" i="2"/>
  <c r="W557" i="2"/>
  <c r="X557" i="2"/>
  <c r="V558" i="2"/>
  <c r="W558" i="2"/>
  <c r="X558" i="2"/>
  <c r="V559" i="2"/>
  <c r="W559" i="2"/>
  <c r="X559" i="2"/>
  <c r="V560" i="2"/>
  <c r="W560" i="2"/>
  <c r="X560" i="2"/>
  <c r="V561" i="2"/>
  <c r="W561" i="2"/>
  <c r="X561" i="2"/>
  <c r="V562" i="2"/>
  <c r="W562" i="2"/>
  <c r="X562" i="2"/>
  <c r="V563" i="2"/>
  <c r="W563" i="2"/>
  <c r="X563" i="2"/>
  <c r="V564" i="2"/>
  <c r="W564" i="2"/>
  <c r="X564" i="2"/>
  <c r="V565" i="2"/>
  <c r="W565" i="2"/>
  <c r="X565" i="2"/>
  <c r="V566" i="2"/>
  <c r="W566" i="2"/>
  <c r="X566" i="2"/>
  <c r="V567" i="2"/>
  <c r="W567" i="2"/>
  <c r="X567" i="2"/>
  <c r="V568" i="2"/>
  <c r="W568" i="2"/>
  <c r="X568" i="2"/>
  <c r="V569" i="2"/>
  <c r="W569" i="2"/>
  <c r="X569" i="2"/>
  <c r="V570" i="2"/>
  <c r="W570" i="2"/>
  <c r="X570" i="2"/>
  <c r="V571" i="2"/>
  <c r="W571" i="2"/>
  <c r="X571" i="2"/>
  <c r="V572" i="2"/>
  <c r="W572" i="2"/>
  <c r="X572" i="2"/>
  <c r="V573" i="2"/>
  <c r="W573" i="2"/>
  <c r="X573" i="2"/>
  <c r="V574" i="2"/>
  <c r="W574" i="2"/>
  <c r="X574" i="2"/>
  <c r="V575" i="2"/>
  <c r="W575" i="2"/>
  <c r="X575" i="2"/>
  <c r="V576" i="2"/>
  <c r="W576" i="2"/>
  <c r="X576" i="2"/>
  <c r="V577" i="2"/>
  <c r="W577" i="2"/>
  <c r="X577" i="2"/>
  <c r="V578" i="2"/>
  <c r="W578" i="2"/>
  <c r="X578" i="2"/>
  <c r="V579" i="2"/>
  <c r="W579" i="2"/>
  <c r="X579" i="2"/>
  <c r="V580" i="2"/>
  <c r="W580" i="2"/>
  <c r="X580" i="2"/>
  <c r="V581" i="2"/>
  <c r="W581" i="2"/>
  <c r="X581" i="2"/>
  <c r="V582" i="2"/>
  <c r="W582" i="2"/>
  <c r="X582" i="2"/>
  <c r="V583" i="2"/>
  <c r="W583" i="2"/>
  <c r="X583" i="2"/>
  <c r="V584" i="2"/>
  <c r="W584" i="2"/>
  <c r="X584" i="2"/>
  <c r="V585" i="2"/>
  <c r="W585" i="2"/>
  <c r="X585" i="2"/>
  <c r="V586" i="2"/>
  <c r="W586" i="2"/>
  <c r="X586" i="2"/>
  <c r="V587" i="2"/>
  <c r="W587" i="2"/>
  <c r="X587" i="2"/>
  <c r="V588" i="2"/>
  <c r="W588" i="2"/>
  <c r="X588" i="2"/>
  <c r="V589" i="2"/>
  <c r="W589" i="2"/>
  <c r="X589" i="2"/>
  <c r="V590" i="2"/>
  <c r="W590" i="2"/>
  <c r="X590" i="2"/>
  <c r="V591" i="2"/>
  <c r="W591" i="2"/>
  <c r="X591" i="2"/>
  <c r="V592" i="2"/>
  <c r="W592" i="2"/>
  <c r="X592" i="2"/>
  <c r="V593" i="2"/>
  <c r="W593" i="2"/>
  <c r="X593" i="2"/>
  <c r="V594" i="2"/>
  <c r="W594" i="2"/>
  <c r="X594" i="2"/>
  <c r="V595" i="2"/>
  <c r="W595" i="2"/>
  <c r="X595" i="2"/>
  <c r="V596" i="2"/>
  <c r="W596" i="2"/>
  <c r="X596" i="2"/>
  <c r="V597" i="2"/>
  <c r="W597" i="2"/>
  <c r="X597" i="2"/>
  <c r="V598" i="2"/>
  <c r="W598" i="2"/>
  <c r="X598" i="2"/>
  <c r="V599" i="2"/>
  <c r="W599" i="2"/>
  <c r="X599" i="2"/>
  <c r="V600" i="2"/>
  <c r="W600" i="2"/>
  <c r="X600" i="2"/>
  <c r="V601" i="2"/>
  <c r="W601" i="2"/>
  <c r="X601" i="2"/>
  <c r="V602" i="2"/>
  <c r="W602" i="2"/>
  <c r="X602" i="2"/>
  <c r="V603" i="2"/>
  <c r="W603" i="2"/>
  <c r="X603" i="2"/>
  <c r="V604" i="2"/>
  <c r="W604" i="2"/>
  <c r="X604" i="2"/>
  <c r="V605" i="2"/>
  <c r="W605" i="2"/>
  <c r="X605" i="2"/>
  <c r="V606" i="2"/>
  <c r="W606" i="2"/>
  <c r="X606" i="2"/>
  <c r="V607" i="2"/>
  <c r="W607" i="2"/>
  <c r="X607" i="2"/>
  <c r="V608" i="2"/>
  <c r="W608" i="2"/>
  <c r="X608" i="2"/>
  <c r="V609" i="2"/>
  <c r="W609" i="2"/>
  <c r="X609" i="2"/>
  <c r="V610" i="2"/>
  <c r="W610" i="2"/>
  <c r="X610" i="2"/>
  <c r="V611" i="2"/>
  <c r="W611" i="2"/>
  <c r="X611" i="2"/>
  <c r="V612" i="2"/>
  <c r="W612" i="2"/>
  <c r="X612" i="2"/>
  <c r="V613" i="2"/>
  <c r="W613" i="2"/>
  <c r="X613" i="2"/>
  <c r="V614" i="2"/>
  <c r="W614" i="2"/>
  <c r="X614" i="2"/>
  <c r="V615" i="2"/>
  <c r="W615" i="2"/>
  <c r="X615" i="2"/>
  <c r="V616" i="2"/>
  <c r="W616" i="2"/>
  <c r="X616" i="2"/>
  <c r="V617" i="2"/>
  <c r="W617" i="2"/>
  <c r="X617" i="2"/>
  <c r="V618" i="2"/>
  <c r="W618" i="2"/>
  <c r="X618" i="2"/>
  <c r="V619" i="2"/>
  <c r="W619" i="2"/>
  <c r="X619" i="2"/>
  <c r="V620" i="2"/>
  <c r="W620" i="2"/>
  <c r="X620" i="2"/>
  <c r="V621" i="2"/>
  <c r="W621" i="2"/>
  <c r="X621" i="2"/>
  <c r="V622" i="2"/>
  <c r="W622" i="2"/>
  <c r="X622" i="2"/>
  <c r="V623" i="2"/>
  <c r="W623" i="2"/>
  <c r="X623" i="2"/>
  <c r="V624" i="2"/>
  <c r="W624" i="2"/>
  <c r="X624" i="2"/>
  <c r="V625" i="2"/>
  <c r="W625" i="2"/>
  <c r="X625" i="2"/>
  <c r="V626" i="2"/>
  <c r="W626" i="2"/>
  <c r="X626" i="2"/>
  <c r="V627" i="2"/>
  <c r="W627" i="2"/>
  <c r="X627" i="2"/>
  <c r="V628" i="2"/>
  <c r="W628" i="2"/>
  <c r="X628" i="2"/>
  <c r="V629" i="2"/>
  <c r="W629" i="2"/>
  <c r="X629" i="2"/>
  <c r="V630" i="2"/>
  <c r="W630" i="2"/>
  <c r="X630" i="2"/>
  <c r="V631" i="2"/>
  <c r="W631" i="2"/>
  <c r="X631" i="2"/>
  <c r="V632" i="2"/>
  <c r="W632" i="2"/>
  <c r="X632" i="2"/>
  <c r="V633" i="2"/>
  <c r="W633" i="2"/>
  <c r="X633" i="2"/>
  <c r="V634" i="2"/>
  <c r="W634" i="2"/>
  <c r="X634" i="2"/>
  <c r="V635" i="2"/>
  <c r="W635" i="2"/>
  <c r="X635" i="2"/>
  <c r="V636" i="2"/>
  <c r="W636" i="2"/>
  <c r="X636" i="2"/>
  <c r="V637" i="2"/>
  <c r="W637" i="2"/>
  <c r="X637" i="2"/>
  <c r="V638" i="2"/>
  <c r="W638" i="2"/>
  <c r="X638" i="2"/>
  <c r="V639" i="2"/>
  <c r="W639" i="2"/>
  <c r="X639" i="2"/>
  <c r="V640" i="2"/>
  <c r="W640" i="2"/>
  <c r="X640" i="2"/>
  <c r="V641" i="2"/>
  <c r="W641" i="2"/>
  <c r="X641" i="2"/>
  <c r="V642" i="2"/>
  <c r="W642" i="2"/>
  <c r="X642" i="2"/>
  <c r="V643" i="2"/>
  <c r="W643" i="2"/>
  <c r="X643" i="2"/>
  <c r="V644" i="2"/>
  <c r="W644" i="2"/>
  <c r="X644" i="2"/>
  <c r="V645" i="2"/>
  <c r="W645" i="2"/>
  <c r="X645" i="2"/>
  <c r="V646" i="2"/>
  <c r="W646" i="2"/>
  <c r="X646" i="2"/>
  <c r="V647" i="2"/>
  <c r="W647" i="2"/>
  <c r="X647" i="2"/>
  <c r="V648" i="2"/>
  <c r="W648" i="2"/>
  <c r="X648" i="2"/>
  <c r="V649" i="2"/>
  <c r="W649" i="2"/>
  <c r="X649" i="2"/>
  <c r="V650" i="2"/>
  <c r="W650" i="2"/>
  <c r="X650" i="2"/>
  <c r="V651" i="2"/>
  <c r="W651" i="2"/>
  <c r="X651" i="2"/>
  <c r="V652" i="2"/>
  <c r="W652" i="2"/>
  <c r="X652" i="2"/>
  <c r="V653" i="2"/>
  <c r="W653" i="2"/>
  <c r="X653" i="2"/>
  <c r="V654" i="2"/>
  <c r="W654" i="2"/>
  <c r="X654" i="2"/>
  <c r="V655" i="2"/>
  <c r="W655" i="2"/>
  <c r="X655" i="2"/>
  <c r="V656" i="2"/>
  <c r="W656" i="2"/>
  <c r="X656" i="2"/>
  <c r="V657" i="2"/>
  <c r="W657" i="2"/>
  <c r="X657" i="2"/>
  <c r="V658" i="2"/>
  <c r="W658" i="2"/>
  <c r="X658" i="2"/>
  <c r="V659" i="2"/>
  <c r="W659" i="2"/>
  <c r="X659" i="2"/>
  <c r="V660" i="2"/>
  <c r="W660" i="2"/>
  <c r="X660" i="2"/>
  <c r="V661" i="2"/>
  <c r="W661" i="2"/>
  <c r="X661" i="2"/>
  <c r="V662" i="2"/>
  <c r="W662" i="2"/>
  <c r="X662" i="2"/>
  <c r="V663" i="2"/>
  <c r="W663" i="2"/>
  <c r="X663" i="2"/>
  <c r="V664" i="2"/>
  <c r="W664" i="2"/>
  <c r="X664" i="2"/>
  <c r="V665" i="2"/>
  <c r="W665" i="2"/>
  <c r="X665" i="2"/>
  <c r="V666" i="2"/>
  <c r="W666" i="2"/>
  <c r="X666" i="2"/>
  <c r="V667" i="2"/>
  <c r="W667" i="2"/>
  <c r="X667" i="2"/>
  <c r="V668" i="2"/>
  <c r="W668" i="2"/>
  <c r="X668" i="2"/>
  <c r="V669" i="2"/>
  <c r="W669" i="2"/>
  <c r="X669" i="2"/>
  <c r="V670" i="2"/>
  <c r="W670" i="2"/>
  <c r="X670" i="2"/>
  <c r="V671" i="2"/>
  <c r="W671" i="2"/>
  <c r="X671" i="2"/>
  <c r="V672" i="2"/>
  <c r="W672" i="2"/>
  <c r="X672" i="2"/>
  <c r="V673" i="2"/>
  <c r="W673" i="2"/>
  <c r="X673" i="2"/>
  <c r="V674" i="2"/>
  <c r="W674" i="2"/>
  <c r="X674" i="2"/>
  <c r="V675" i="2"/>
  <c r="W675" i="2"/>
  <c r="X675" i="2"/>
  <c r="V676" i="2"/>
  <c r="W676" i="2"/>
  <c r="X676" i="2"/>
  <c r="V677" i="2"/>
  <c r="W677" i="2"/>
  <c r="X677" i="2"/>
  <c r="V678" i="2"/>
  <c r="W678" i="2"/>
  <c r="X678" i="2"/>
  <c r="V679" i="2"/>
  <c r="W679" i="2"/>
  <c r="X679" i="2"/>
  <c r="V680" i="2"/>
  <c r="W680" i="2"/>
  <c r="X680" i="2"/>
  <c r="V681" i="2"/>
  <c r="W681" i="2"/>
  <c r="X681" i="2"/>
  <c r="V682" i="2"/>
  <c r="W682" i="2"/>
  <c r="X682" i="2"/>
  <c r="V683" i="2"/>
  <c r="W683" i="2"/>
  <c r="X683" i="2"/>
  <c r="V684" i="2"/>
  <c r="W684" i="2"/>
  <c r="X684" i="2"/>
  <c r="V685" i="2"/>
  <c r="W685" i="2"/>
  <c r="X685" i="2"/>
  <c r="V686" i="2"/>
  <c r="W686" i="2"/>
  <c r="X686" i="2"/>
  <c r="V687" i="2"/>
  <c r="W687" i="2"/>
  <c r="X687" i="2"/>
  <c r="V688" i="2"/>
  <c r="W688" i="2"/>
  <c r="X688" i="2"/>
  <c r="V689" i="2"/>
  <c r="W689" i="2"/>
  <c r="X689" i="2"/>
  <c r="V690" i="2"/>
  <c r="W690" i="2"/>
  <c r="X690" i="2"/>
  <c r="V691" i="2"/>
  <c r="W691" i="2"/>
  <c r="X691" i="2"/>
  <c r="V692" i="2"/>
  <c r="W692" i="2"/>
  <c r="X692" i="2"/>
  <c r="V693" i="2"/>
  <c r="W693" i="2"/>
  <c r="X693" i="2"/>
  <c r="V694" i="2"/>
  <c r="W694" i="2"/>
  <c r="X694" i="2"/>
  <c r="V695" i="2"/>
  <c r="W695" i="2"/>
  <c r="X695" i="2"/>
  <c r="V696" i="2"/>
  <c r="W696" i="2"/>
  <c r="X696" i="2"/>
  <c r="V697" i="2"/>
  <c r="W697" i="2"/>
  <c r="X697" i="2"/>
  <c r="V698" i="2"/>
  <c r="W698" i="2"/>
  <c r="X698" i="2"/>
  <c r="V699" i="2"/>
  <c r="W699" i="2"/>
  <c r="X699" i="2"/>
  <c r="V700" i="2"/>
  <c r="W700" i="2"/>
  <c r="X700" i="2"/>
  <c r="V701" i="2"/>
  <c r="W701" i="2"/>
  <c r="X701" i="2"/>
  <c r="V702" i="2"/>
  <c r="W702" i="2"/>
  <c r="X702" i="2"/>
  <c r="V703" i="2"/>
  <c r="W703" i="2"/>
  <c r="X703" i="2"/>
  <c r="V704" i="2"/>
  <c r="W704" i="2"/>
  <c r="X704" i="2"/>
  <c r="V705" i="2"/>
  <c r="W705" i="2"/>
  <c r="X705" i="2"/>
  <c r="V706" i="2"/>
  <c r="W706" i="2"/>
  <c r="X706" i="2"/>
  <c r="V707" i="2"/>
  <c r="W707" i="2"/>
  <c r="X707" i="2"/>
  <c r="V708" i="2"/>
  <c r="W708" i="2"/>
  <c r="X708" i="2"/>
  <c r="V709" i="2"/>
  <c r="W709" i="2"/>
  <c r="X709" i="2"/>
  <c r="V710" i="2"/>
  <c r="W710" i="2"/>
  <c r="X710" i="2"/>
  <c r="V711" i="2"/>
  <c r="W711" i="2"/>
  <c r="X711" i="2"/>
  <c r="V712" i="2"/>
  <c r="W712" i="2"/>
  <c r="X712" i="2"/>
  <c r="V713" i="2"/>
  <c r="W713" i="2"/>
  <c r="X713" i="2"/>
  <c r="V714" i="2"/>
  <c r="W714" i="2"/>
  <c r="X714" i="2"/>
  <c r="V715" i="2"/>
  <c r="W715" i="2"/>
  <c r="X715" i="2"/>
  <c r="V716" i="2"/>
  <c r="W716" i="2"/>
  <c r="X716" i="2"/>
  <c r="V717" i="2"/>
  <c r="W717" i="2"/>
  <c r="X717" i="2"/>
  <c r="V718" i="2"/>
  <c r="W718" i="2"/>
  <c r="X718" i="2"/>
  <c r="V719" i="2"/>
  <c r="W719" i="2"/>
  <c r="X719" i="2"/>
  <c r="V720" i="2"/>
  <c r="W720" i="2"/>
  <c r="X720" i="2"/>
  <c r="V721" i="2"/>
  <c r="W721" i="2"/>
  <c r="X721" i="2"/>
  <c r="V722" i="2"/>
  <c r="W722" i="2"/>
  <c r="X722" i="2"/>
  <c r="V723" i="2"/>
  <c r="W723" i="2"/>
  <c r="X723" i="2"/>
  <c r="V724" i="2"/>
  <c r="W724" i="2"/>
  <c r="X724" i="2"/>
  <c r="V725" i="2"/>
  <c r="W725" i="2"/>
  <c r="X725" i="2"/>
  <c r="V726" i="2"/>
  <c r="W726" i="2"/>
  <c r="X726" i="2"/>
  <c r="V727" i="2"/>
  <c r="W727" i="2"/>
  <c r="X727" i="2"/>
  <c r="V728" i="2"/>
  <c r="W728" i="2"/>
  <c r="X728" i="2"/>
  <c r="V729" i="2"/>
  <c r="W729" i="2"/>
  <c r="X729" i="2"/>
  <c r="V730" i="2"/>
  <c r="W730" i="2"/>
  <c r="X730" i="2"/>
  <c r="V731" i="2"/>
  <c r="W731" i="2"/>
  <c r="X731" i="2"/>
  <c r="V732" i="2"/>
  <c r="W732" i="2"/>
  <c r="X732" i="2"/>
  <c r="V733" i="2"/>
  <c r="W733" i="2"/>
  <c r="X733" i="2"/>
  <c r="V734" i="2"/>
  <c r="W734" i="2"/>
  <c r="X734" i="2"/>
  <c r="V735" i="2"/>
  <c r="W735" i="2"/>
  <c r="X735" i="2"/>
  <c r="V736" i="2"/>
  <c r="W736" i="2"/>
  <c r="X736" i="2"/>
  <c r="V737" i="2"/>
  <c r="W737" i="2"/>
  <c r="X737" i="2"/>
  <c r="V738" i="2"/>
  <c r="W738" i="2"/>
  <c r="X738" i="2"/>
  <c r="V739" i="2"/>
  <c r="W739" i="2"/>
  <c r="X739" i="2"/>
  <c r="V740" i="2"/>
  <c r="W740" i="2"/>
  <c r="X740" i="2"/>
  <c r="V741" i="2"/>
  <c r="W741" i="2"/>
  <c r="X741" i="2"/>
  <c r="V742" i="2"/>
  <c r="W742" i="2"/>
  <c r="X742" i="2"/>
  <c r="V743" i="2"/>
  <c r="W743" i="2"/>
  <c r="X743" i="2"/>
  <c r="V744" i="2"/>
  <c r="W744" i="2"/>
  <c r="X744" i="2"/>
  <c r="V745" i="2"/>
  <c r="W745" i="2"/>
  <c r="X745" i="2"/>
  <c r="V746" i="2"/>
  <c r="W746" i="2"/>
  <c r="X746" i="2"/>
  <c r="V747" i="2"/>
  <c r="W747" i="2"/>
  <c r="X747" i="2"/>
  <c r="V748" i="2"/>
  <c r="W748" i="2"/>
  <c r="X748" i="2"/>
  <c r="V749" i="2"/>
  <c r="W749" i="2"/>
  <c r="X749" i="2"/>
  <c r="V750" i="2"/>
  <c r="W750" i="2"/>
  <c r="X750" i="2"/>
  <c r="V751" i="2"/>
  <c r="W751" i="2"/>
  <c r="X751" i="2"/>
  <c r="V752" i="2"/>
  <c r="W752" i="2"/>
  <c r="X752" i="2"/>
  <c r="V753" i="2"/>
  <c r="W753" i="2"/>
  <c r="X753" i="2"/>
  <c r="V754" i="2"/>
  <c r="W754" i="2"/>
  <c r="X754" i="2"/>
  <c r="V755" i="2"/>
  <c r="W755" i="2"/>
  <c r="X755" i="2"/>
  <c r="V756" i="2"/>
  <c r="W756" i="2"/>
  <c r="X756" i="2"/>
  <c r="V757" i="2"/>
  <c r="W757" i="2"/>
  <c r="X757" i="2"/>
  <c r="V758" i="2"/>
  <c r="W758" i="2"/>
  <c r="X758" i="2"/>
  <c r="V759" i="2"/>
  <c r="W759" i="2"/>
  <c r="X759" i="2"/>
  <c r="V760" i="2"/>
  <c r="W760" i="2"/>
  <c r="X760" i="2"/>
  <c r="V761" i="2"/>
  <c r="W761" i="2"/>
  <c r="X761" i="2"/>
  <c r="V762" i="2"/>
  <c r="W762" i="2"/>
  <c r="X762" i="2"/>
  <c r="V763" i="2"/>
  <c r="W763" i="2"/>
  <c r="X763" i="2"/>
  <c r="V764" i="2"/>
  <c r="W764" i="2"/>
  <c r="X764" i="2"/>
  <c r="V765" i="2"/>
  <c r="W765" i="2"/>
  <c r="X765" i="2"/>
  <c r="V766" i="2"/>
  <c r="W766" i="2"/>
  <c r="X766" i="2"/>
  <c r="V767" i="2"/>
  <c r="W767" i="2"/>
  <c r="X767" i="2"/>
  <c r="V768" i="2"/>
  <c r="W768" i="2"/>
  <c r="X768" i="2"/>
  <c r="V769" i="2"/>
  <c r="W769" i="2"/>
  <c r="X769" i="2"/>
  <c r="V770" i="2"/>
  <c r="W770" i="2"/>
  <c r="X770" i="2"/>
  <c r="V771" i="2"/>
  <c r="W771" i="2"/>
  <c r="X771" i="2"/>
  <c r="V772" i="2"/>
  <c r="W772" i="2"/>
  <c r="X772" i="2"/>
  <c r="V773" i="2"/>
  <c r="W773" i="2"/>
  <c r="X773" i="2"/>
  <c r="V774" i="2"/>
  <c r="W774" i="2"/>
  <c r="X774" i="2"/>
  <c r="V775" i="2"/>
  <c r="W775" i="2"/>
  <c r="X775" i="2"/>
  <c r="V776" i="2"/>
  <c r="W776" i="2"/>
  <c r="X776" i="2"/>
  <c r="V777" i="2"/>
  <c r="W777" i="2"/>
  <c r="X777" i="2"/>
  <c r="V778" i="2"/>
  <c r="W778" i="2"/>
  <c r="X778" i="2"/>
  <c r="V779" i="2"/>
  <c r="W779" i="2"/>
  <c r="X779" i="2"/>
  <c r="V780" i="2"/>
  <c r="W780" i="2"/>
  <c r="X780" i="2"/>
  <c r="V781" i="2"/>
  <c r="W781" i="2"/>
  <c r="X781" i="2"/>
  <c r="V782" i="2"/>
  <c r="W782" i="2"/>
  <c r="X782" i="2"/>
  <c r="V783" i="2"/>
  <c r="W783" i="2"/>
  <c r="X783" i="2"/>
  <c r="V784" i="2"/>
  <c r="W784" i="2"/>
  <c r="X784" i="2"/>
  <c r="V785" i="2"/>
  <c r="W785" i="2"/>
  <c r="X785" i="2"/>
  <c r="V786" i="2"/>
  <c r="W786" i="2"/>
  <c r="X786" i="2"/>
  <c r="V787" i="2"/>
  <c r="W787" i="2"/>
  <c r="X787" i="2"/>
  <c r="V788" i="2"/>
  <c r="W788" i="2"/>
  <c r="X788" i="2"/>
  <c r="V789" i="2"/>
  <c r="W789" i="2"/>
  <c r="X789" i="2"/>
  <c r="V790" i="2"/>
  <c r="W790" i="2"/>
  <c r="X790" i="2"/>
  <c r="V791" i="2"/>
  <c r="W791" i="2"/>
  <c r="X791" i="2"/>
  <c r="V792" i="2"/>
  <c r="W792" i="2"/>
  <c r="X792" i="2"/>
  <c r="V793" i="2"/>
  <c r="W793" i="2"/>
  <c r="X793" i="2"/>
  <c r="V794" i="2"/>
  <c r="W794" i="2"/>
  <c r="X794" i="2"/>
  <c r="V795" i="2"/>
  <c r="W795" i="2"/>
  <c r="X795" i="2"/>
  <c r="V796" i="2"/>
  <c r="W796" i="2"/>
  <c r="X796" i="2"/>
  <c r="V797" i="2"/>
  <c r="W797" i="2"/>
  <c r="X797" i="2"/>
  <c r="V798" i="2"/>
  <c r="W798" i="2"/>
  <c r="X798" i="2"/>
  <c r="V799" i="2"/>
  <c r="W799" i="2"/>
  <c r="X799" i="2"/>
  <c r="V800" i="2"/>
  <c r="W800" i="2"/>
  <c r="X800" i="2"/>
  <c r="V801" i="2"/>
  <c r="W801" i="2"/>
  <c r="X801" i="2"/>
  <c r="V802" i="2"/>
  <c r="W802" i="2"/>
  <c r="X802" i="2"/>
  <c r="V803" i="2"/>
  <c r="W803" i="2"/>
  <c r="X803" i="2"/>
  <c r="V804" i="2"/>
  <c r="W804" i="2"/>
  <c r="X804" i="2"/>
  <c r="V805" i="2"/>
  <c r="W805" i="2"/>
  <c r="X805" i="2"/>
  <c r="V806" i="2"/>
  <c r="W806" i="2"/>
  <c r="X806" i="2"/>
  <c r="V807" i="2"/>
  <c r="W807" i="2"/>
  <c r="X807" i="2"/>
  <c r="V808" i="2"/>
  <c r="W808" i="2"/>
  <c r="X808" i="2"/>
  <c r="V809" i="2"/>
  <c r="W809" i="2"/>
  <c r="X809" i="2"/>
  <c r="V810" i="2"/>
  <c r="W810" i="2"/>
  <c r="X810" i="2"/>
  <c r="V811" i="2"/>
  <c r="W811" i="2"/>
  <c r="X811" i="2"/>
  <c r="V812" i="2"/>
  <c r="W812" i="2"/>
  <c r="X812" i="2"/>
  <c r="V813" i="2"/>
  <c r="W813" i="2"/>
  <c r="X813" i="2"/>
  <c r="V814" i="2"/>
  <c r="W814" i="2"/>
  <c r="X814" i="2"/>
  <c r="V815" i="2"/>
  <c r="W815" i="2"/>
  <c r="X815" i="2"/>
  <c r="V816" i="2"/>
  <c r="W816" i="2"/>
  <c r="X816" i="2"/>
  <c r="V817" i="2"/>
  <c r="W817" i="2"/>
  <c r="X817" i="2"/>
  <c r="V818" i="2"/>
  <c r="W818" i="2"/>
  <c r="X818" i="2"/>
  <c r="V819" i="2"/>
  <c r="W819" i="2"/>
  <c r="X819" i="2"/>
  <c r="V820" i="2"/>
  <c r="W820" i="2"/>
  <c r="X820" i="2"/>
  <c r="V821" i="2"/>
  <c r="W821" i="2"/>
  <c r="X821" i="2"/>
  <c r="V822" i="2"/>
  <c r="W822" i="2"/>
  <c r="X822" i="2"/>
  <c r="V823" i="2"/>
  <c r="W823" i="2"/>
  <c r="X823" i="2"/>
  <c r="V824" i="2"/>
  <c r="W824" i="2"/>
  <c r="X824" i="2"/>
  <c r="V825" i="2"/>
  <c r="W825" i="2"/>
  <c r="X825" i="2"/>
  <c r="V826" i="2"/>
  <c r="W826" i="2"/>
  <c r="X826" i="2"/>
  <c r="V827" i="2"/>
  <c r="W827" i="2"/>
  <c r="X827" i="2"/>
  <c r="V828" i="2"/>
  <c r="W828" i="2"/>
  <c r="X828" i="2"/>
  <c r="V829" i="2"/>
  <c r="W829" i="2"/>
  <c r="X829" i="2"/>
  <c r="V830" i="2"/>
  <c r="W830" i="2"/>
  <c r="X830" i="2"/>
  <c r="V831" i="2"/>
  <c r="W831" i="2"/>
  <c r="X831" i="2"/>
  <c r="V832" i="2"/>
  <c r="W832" i="2"/>
  <c r="X832" i="2"/>
  <c r="V833" i="2"/>
  <c r="W833" i="2"/>
  <c r="X833" i="2"/>
  <c r="V834" i="2"/>
  <c r="W834" i="2"/>
  <c r="X834" i="2"/>
  <c r="V835" i="2"/>
  <c r="W835" i="2"/>
  <c r="X835" i="2"/>
  <c r="V836" i="2"/>
  <c r="W836" i="2"/>
  <c r="X836" i="2"/>
  <c r="V837" i="2"/>
  <c r="W837" i="2"/>
  <c r="X837" i="2"/>
  <c r="V838" i="2"/>
  <c r="W838" i="2"/>
  <c r="X838" i="2"/>
  <c r="V839" i="2"/>
  <c r="W839" i="2"/>
  <c r="X839" i="2"/>
  <c r="V840" i="2"/>
  <c r="W840" i="2"/>
  <c r="X840" i="2"/>
  <c r="V841" i="2"/>
  <c r="W841" i="2"/>
  <c r="X841" i="2"/>
  <c r="V842" i="2"/>
  <c r="W842" i="2"/>
  <c r="X842" i="2"/>
  <c r="V843" i="2"/>
  <c r="W843" i="2"/>
  <c r="X843" i="2"/>
  <c r="V844" i="2"/>
  <c r="W844" i="2"/>
  <c r="X844" i="2"/>
  <c r="V845" i="2"/>
  <c r="W845" i="2"/>
  <c r="X845" i="2"/>
  <c r="V846" i="2"/>
  <c r="W846" i="2"/>
  <c r="X846" i="2"/>
  <c r="V847" i="2"/>
  <c r="W847" i="2"/>
  <c r="X847" i="2"/>
  <c r="V848" i="2"/>
  <c r="W848" i="2"/>
  <c r="X848" i="2"/>
  <c r="V849" i="2"/>
  <c r="W849" i="2"/>
  <c r="X849" i="2"/>
  <c r="V850" i="2"/>
  <c r="W850" i="2"/>
  <c r="X850" i="2"/>
  <c r="V851" i="2"/>
  <c r="W851" i="2"/>
  <c r="X851" i="2"/>
  <c r="V852" i="2"/>
  <c r="W852" i="2"/>
  <c r="X852" i="2"/>
  <c r="V853" i="2"/>
  <c r="W853" i="2"/>
  <c r="X853" i="2"/>
  <c r="V854" i="2"/>
  <c r="W854" i="2"/>
  <c r="X854" i="2"/>
  <c r="V855" i="2"/>
  <c r="W855" i="2"/>
  <c r="X855" i="2"/>
  <c r="V856" i="2"/>
  <c r="W856" i="2"/>
  <c r="X856" i="2"/>
  <c r="V857" i="2"/>
  <c r="W857" i="2"/>
  <c r="X857" i="2"/>
  <c r="V858" i="2"/>
  <c r="W858" i="2"/>
  <c r="X858" i="2"/>
  <c r="V859" i="2"/>
  <c r="W859" i="2"/>
  <c r="X859" i="2"/>
  <c r="V860" i="2"/>
  <c r="W860" i="2"/>
  <c r="X860" i="2"/>
  <c r="V861" i="2"/>
  <c r="W861" i="2"/>
  <c r="X861" i="2"/>
  <c r="V862" i="2"/>
  <c r="W862" i="2"/>
  <c r="X862" i="2"/>
  <c r="V863" i="2"/>
  <c r="W863" i="2"/>
  <c r="X863" i="2"/>
  <c r="V864" i="2"/>
  <c r="W864" i="2"/>
  <c r="X864" i="2"/>
  <c r="V865" i="2"/>
  <c r="W865" i="2"/>
  <c r="X865" i="2"/>
  <c r="V866" i="2"/>
  <c r="W866" i="2"/>
  <c r="X866" i="2"/>
  <c r="V867" i="2"/>
  <c r="W867" i="2"/>
  <c r="X867" i="2"/>
  <c r="V868" i="2"/>
  <c r="W868" i="2"/>
  <c r="X868" i="2"/>
  <c r="V869" i="2"/>
  <c r="W869" i="2"/>
  <c r="X869" i="2"/>
  <c r="V870" i="2"/>
  <c r="W870" i="2"/>
  <c r="X870" i="2"/>
  <c r="V871" i="2"/>
  <c r="W871" i="2"/>
  <c r="X871" i="2"/>
  <c r="V872" i="2"/>
  <c r="W872" i="2"/>
  <c r="X872" i="2"/>
  <c r="V873" i="2"/>
  <c r="W873" i="2"/>
  <c r="X873" i="2"/>
  <c r="V874" i="2"/>
  <c r="W874" i="2"/>
  <c r="X874" i="2"/>
  <c r="V875" i="2"/>
  <c r="W875" i="2"/>
  <c r="X875" i="2"/>
  <c r="V876" i="2"/>
  <c r="W876" i="2"/>
  <c r="X876" i="2"/>
  <c r="V877" i="2"/>
  <c r="W877" i="2"/>
  <c r="X877" i="2"/>
  <c r="V878" i="2"/>
  <c r="W878" i="2"/>
  <c r="X878" i="2"/>
  <c r="V879" i="2"/>
  <c r="W879" i="2"/>
  <c r="X879" i="2"/>
  <c r="V880" i="2"/>
  <c r="W880" i="2"/>
  <c r="X880" i="2"/>
  <c r="V881" i="2"/>
  <c r="W881" i="2"/>
  <c r="X881" i="2"/>
  <c r="V882" i="2"/>
  <c r="W882" i="2"/>
  <c r="X882" i="2"/>
  <c r="V883" i="2"/>
  <c r="W883" i="2"/>
  <c r="X883" i="2"/>
  <c r="V884" i="2"/>
  <c r="W884" i="2"/>
  <c r="X884" i="2"/>
  <c r="V885" i="2"/>
  <c r="W885" i="2"/>
  <c r="X885" i="2"/>
  <c r="V886" i="2"/>
  <c r="W886" i="2"/>
  <c r="X886" i="2"/>
  <c r="V887" i="2"/>
  <c r="W887" i="2"/>
  <c r="X887" i="2"/>
  <c r="V888" i="2"/>
  <c r="W888" i="2"/>
  <c r="X888" i="2"/>
  <c r="V889" i="2"/>
  <c r="W889" i="2"/>
  <c r="X889" i="2"/>
  <c r="V890" i="2"/>
  <c r="W890" i="2"/>
  <c r="X890" i="2"/>
  <c r="V891" i="2"/>
  <c r="W891" i="2"/>
  <c r="X891" i="2"/>
  <c r="V892" i="2"/>
  <c r="W892" i="2"/>
  <c r="X892" i="2"/>
  <c r="V893" i="2"/>
  <c r="W893" i="2"/>
  <c r="X893" i="2"/>
  <c r="V894" i="2"/>
  <c r="W894" i="2"/>
  <c r="X894" i="2"/>
  <c r="V895" i="2"/>
  <c r="W895" i="2"/>
  <c r="X895" i="2"/>
  <c r="V896" i="2"/>
  <c r="W896" i="2"/>
  <c r="X896" i="2"/>
  <c r="V897" i="2"/>
  <c r="W897" i="2"/>
  <c r="X897" i="2"/>
  <c r="V898" i="2"/>
  <c r="W898" i="2"/>
  <c r="X898" i="2"/>
  <c r="V899" i="2"/>
  <c r="W899" i="2"/>
  <c r="X899" i="2"/>
  <c r="V900" i="2"/>
  <c r="W900" i="2"/>
  <c r="X900" i="2"/>
  <c r="V901" i="2"/>
  <c r="W901" i="2"/>
  <c r="X901" i="2"/>
  <c r="V902" i="2"/>
  <c r="W902" i="2"/>
  <c r="X902" i="2"/>
  <c r="V903" i="2"/>
  <c r="W903" i="2"/>
  <c r="X903" i="2"/>
  <c r="V904" i="2"/>
  <c r="W904" i="2"/>
  <c r="X904" i="2"/>
  <c r="V905" i="2"/>
  <c r="W905" i="2"/>
  <c r="X905" i="2"/>
  <c r="V906" i="2"/>
  <c r="W906" i="2"/>
  <c r="X906" i="2"/>
  <c r="V907" i="2"/>
  <c r="W907" i="2"/>
  <c r="X907" i="2"/>
  <c r="V908" i="2"/>
  <c r="W908" i="2"/>
  <c r="X908" i="2"/>
  <c r="V909" i="2"/>
  <c r="W909" i="2"/>
  <c r="X909" i="2"/>
  <c r="V910" i="2"/>
  <c r="W910" i="2"/>
  <c r="X910" i="2"/>
  <c r="V911" i="2"/>
  <c r="W911" i="2"/>
  <c r="X911" i="2"/>
  <c r="V912" i="2"/>
  <c r="W912" i="2"/>
  <c r="X912" i="2"/>
  <c r="V913" i="2"/>
  <c r="W913" i="2"/>
  <c r="X913" i="2"/>
  <c r="V914" i="2"/>
  <c r="W914" i="2"/>
  <c r="X914" i="2"/>
  <c r="V915" i="2"/>
  <c r="W915" i="2"/>
  <c r="X915" i="2"/>
  <c r="V916" i="2"/>
  <c r="W916" i="2"/>
  <c r="X916" i="2"/>
  <c r="V917" i="2"/>
  <c r="W917" i="2"/>
  <c r="X917" i="2"/>
  <c r="V918" i="2"/>
  <c r="W918" i="2"/>
  <c r="X918" i="2"/>
  <c r="V919" i="2"/>
  <c r="W919" i="2"/>
  <c r="X919" i="2"/>
  <c r="V920" i="2"/>
  <c r="W920" i="2"/>
  <c r="X920" i="2"/>
  <c r="V921" i="2"/>
  <c r="W921" i="2"/>
  <c r="X921" i="2"/>
  <c r="V922" i="2"/>
  <c r="W922" i="2"/>
  <c r="X922" i="2"/>
  <c r="V923" i="2"/>
  <c r="W923" i="2"/>
  <c r="X923" i="2"/>
  <c r="V924" i="2"/>
  <c r="W924" i="2"/>
  <c r="X924" i="2"/>
  <c r="V925" i="2"/>
  <c r="W925" i="2"/>
  <c r="X925" i="2"/>
  <c r="V926" i="2"/>
  <c r="W926" i="2"/>
  <c r="X926" i="2"/>
  <c r="V927" i="2"/>
  <c r="W927" i="2"/>
  <c r="X927" i="2"/>
  <c r="V928" i="2"/>
  <c r="W928" i="2"/>
  <c r="X928" i="2"/>
  <c r="V929" i="2"/>
  <c r="W929" i="2"/>
  <c r="X929" i="2"/>
  <c r="V930" i="2"/>
  <c r="W930" i="2"/>
  <c r="X930" i="2"/>
  <c r="V931" i="2"/>
  <c r="W931" i="2"/>
  <c r="X931" i="2"/>
  <c r="V932" i="2"/>
  <c r="W932" i="2"/>
  <c r="X932" i="2"/>
  <c r="V933" i="2"/>
  <c r="W933" i="2"/>
  <c r="X933" i="2"/>
  <c r="V934" i="2"/>
  <c r="W934" i="2"/>
  <c r="X934" i="2"/>
  <c r="V935" i="2"/>
  <c r="W935" i="2"/>
  <c r="X935" i="2"/>
  <c r="V936" i="2"/>
  <c r="W936" i="2"/>
  <c r="X936" i="2"/>
  <c r="V937" i="2"/>
  <c r="W937" i="2"/>
  <c r="X937" i="2"/>
  <c r="V938" i="2"/>
  <c r="W938" i="2"/>
  <c r="X938" i="2"/>
  <c r="V939" i="2"/>
  <c r="W939" i="2"/>
  <c r="X939" i="2"/>
  <c r="V940" i="2"/>
  <c r="W940" i="2"/>
  <c r="X940" i="2"/>
  <c r="V941" i="2"/>
  <c r="W941" i="2"/>
  <c r="X941" i="2"/>
  <c r="V942" i="2"/>
  <c r="W942" i="2"/>
  <c r="X942" i="2"/>
  <c r="V943" i="2"/>
  <c r="W943" i="2"/>
  <c r="X943" i="2"/>
  <c r="V944" i="2"/>
  <c r="W944" i="2"/>
  <c r="X944" i="2"/>
  <c r="V945" i="2"/>
  <c r="W945" i="2"/>
  <c r="X945" i="2"/>
  <c r="V946" i="2"/>
  <c r="W946" i="2"/>
  <c r="X946" i="2"/>
  <c r="V947" i="2"/>
  <c r="W947" i="2"/>
  <c r="X947" i="2"/>
  <c r="V948" i="2"/>
  <c r="W948" i="2"/>
  <c r="X948" i="2"/>
  <c r="V949" i="2"/>
  <c r="W949" i="2"/>
  <c r="X949" i="2"/>
  <c r="V950" i="2"/>
  <c r="W950" i="2"/>
  <c r="X950" i="2"/>
  <c r="V951" i="2"/>
  <c r="W951" i="2"/>
  <c r="X951" i="2"/>
  <c r="V952" i="2"/>
  <c r="W952" i="2"/>
  <c r="X952" i="2"/>
  <c r="V953" i="2"/>
  <c r="W953" i="2"/>
  <c r="X953" i="2"/>
  <c r="V954" i="2"/>
  <c r="W954" i="2"/>
  <c r="X954" i="2"/>
  <c r="V955" i="2"/>
  <c r="W955" i="2"/>
  <c r="X955" i="2"/>
  <c r="X2" i="2"/>
  <c r="W2" i="2"/>
  <c r="V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I2" i="1" a="1"/>
  <c r="I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<sst xmlns="http://schemas.openxmlformats.org/spreadsheetml/2006/main" count="9198" uniqueCount="1439">
  <si>
    <t>recordId</t>
  </si>
  <si>
    <t>hospId</t>
  </si>
  <si>
    <t>state</t>
  </si>
  <si>
    <t>district</t>
  </si>
  <si>
    <t>hosp_type</t>
  </si>
  <si>
    <t>hospname</t>
  </si>
  <si>
    <t>creation_date</t>
  </si>
  <si>
    <t>date_submission</t>
  </si>
  <si>
    <t>e_primary</t>
  </si>
  <si>
    <t>e_secondary</t>
  </si>
  <si>
    <t>e_tertiary</t>
  </si>
  <si>
    <t>i_primary</t>
  </si>
  <si>
    <t>i_secondary</t>
  </si>
  <si>
    <t>i_tertiary</t>
  </si>
  <si>
    <t>b_primary</t>
  </si>
  <si>
    <t>b_secondary</t>
  </si>
  <si>
    <t>b_tertiary</t>
  </si>
  <si>
    <t>s_primary</t>
  </si>
  <si>
    <t>s_secondary</t>
  </si>
  <si>
    <t>s_tertiary</t>
  </si>
  <si>
    <t>statecode</t>
  </si>
  <si>
    <t>districtcode</t>
  </si>
  <si>
    <t>Haryana</t>
  </si>
  <si>
    <t>Ambala</t>
  </si>
  <si>
    <t>CHC</t>
  </si>
  <si>
    <t>CHC SHAHZADPUR</t>
  </si>
  <si>
    <t>001</t>
  </si>
  <si>
    <t>PHC</t>
  </si>
  <si>
    <t>PHC BOH</t>
  </si>
  <si>
    <t>Gurugram</t>
  </si>
  <si>
    <t>PRIVATE</t>
  </si>
  <si>
    <t>006</t>
  </si>
  <si>
    <t>Fatehabad</t>
  </si>
  <si>
    <t>KHANNA ENT AND DENTAL HOSPITAL</t>
  </si>
  <si>
    <t>005</t>
  </si>
  <si>
    <t>-</t>
  </si>
  <si>
    <t>PARUL ENT SKIN AND LASER CENTRE</t>
  </si>
  <si>
    <t>JAIPUR CHILDREN HOSPITAL</t>
  </si>
  <si>
    <t>Panchkula</t>
  </si>
  <si>
    <t>UPHC</t>
  </si>
  <si>
    <t>UPHC Pinjore</t>
  </si>
  <si>
    <t>016</t>
  </si>
  <si>
    <t>Hisar</t>
  </si>
  <si>
    <t>AABHARI PLASTIC SURGERY CENTRE</t>
  </si>
  <si>
    <t>007</t>
  </si>
  <si>
    <t>SHREE BALAJI HOSPITAL</t>
  </si>
  <si>
    <t>DR RAM NARAIAN SONI ORTHO HOSPITAL</t>
  </si>
  <si>
    <t>Manipal Hospital  Gurugram</t>
  </si>
  <si>
    <t>SAPRA MULTISPECIALITY HOSPITAL</t>
  </si>
  <si>
    <t>Malik Hospital (Uttam Nagar  Hansi)</t>
  </si>
  <si>
    <t>RAVINDRA HOSPITAL AND HEART CENTRE</t>
  </si>
  <si>
    <t>CHC CUM SDH BARWALA</t>
  </si>
  <si>
    <t>KHALSA HOSPITAL MANAGEMENT</t>
  </si>
  <si>
    <t>SADBHAVNA HOSPITAL  Uklana Mandi</t>
  </si>
  <si>
    <t>CHC SORKHI</t>
  </si>
  <si>
    <t>CHC SISWAL</t>
  </si>
  <si>
    <t>CHC KHANDA KHERI</t>
  </si>
  <si>
    <t>CHC SISAI BOLA</t>
  </si>
  <si>
    <t>CHC UKLANA</t>
  </si>
  <si>
    <t>CHC MIRCHPUR</t>
  </si>
  <si>
    <t>CHC ARYANAGAR</t>
  </si>
  <si>
    <t>PHC MAJARI</t>
  </si>
  <si>
    <t>DCH</t>
  </si>
  <si>
    <t>DISTRICT CIVIL HOSPITAL Hisar</t>
  </si>
  <si>
    <t>Palwal</t>
  </si>
  <si>
    <t>civil hospital palwal</t>
  </si>
  <si>
    <t>015</t>
  </si>
  <si>
    <t>PHC LANDHRI</t>
  </si>
  <si>
    <t xml:space="preserve">CHC </t>
  </si>
  <si>
    <t>CHC Mangali</t>
  </si>
  <si>
    <t>PHC KAIMARI</t>
  </si>
  <si>
    <t>PHC LADWA</t>
  </si>
  <si>
    <t>PHC NALWA</t>
  </si>
  <si>
    <t>PHC TALWANDI RUKKA</t>
  </si>
  <si>
    <t>PHC CHOUDHARYWAS</t>
  </si>
  <si>
    <t>PHC SATROAD KALAN</t>
  </si>
  <si>
    <t>PHC BHANBHORI</t>
  </si>
  <si>
    <t>SDH</t>
  </si>
  <si>
    <t>Sub-Divisional Hospital  Hodal</t>
  </si>
  <si>
    <t xml:space="preserve"> Aurangabad Hospital</t>
  </si>
  <si>
    <t>PHC NAGGAL</t>
  </si>
  <si>
    <t>PHC DAULATPUR</t>
  </si>
  <si>
    <t xml:space="preserve">CHC Alawalpur </t>
  </si>
  <si>
    <t>CHC Soundh Palwal</t>
  </si>
  <si>
    <t>CHC Badoli</t>
  </si>
  <si>
    <t>phc solra</t>
  </si>
  <si>
    <t>PHC Mandkola</t>
  </si>
  <si>
    <t>CHC Hathin</t>
  </si>
  <si>
    <t>PHC Bhulwana</t>
  </si>
  <si>
    <t>PHC HASANGARH</t>
  </si>
  <si>
    <t>PHC Hasanpur</t>
  </si>
  <si>
    <t>PHC Khambi</t>
  </si>
  <si>
    <t>PHC Rasulpur</t>
  </si>
  <si>
    <t>PHC Amarpur</t>
  </si>
  <si>
    <t>PHC Sihol</t>
  </si>
  <si>
    <t>PHC Kalsada</t>
  </si>
  <si>
    <t>PHC Nangal Jaat</t>
  </si>
  <si>
    <t>PHC Kot</t>
  </si>
  <si>
    <t>CHC Dudhola</t>
  </si>
  <si>
    <t>PHC Deeghot</t>
  </si>
  <si>
    <t>PHC AGROHA</t>
  </si>
  <si>
    <t>PHC Allika</t>
  </si>
  <si>
    <t>PHC Chhainsa</t>
  </si>
  <si>
    <t>PHC Uttawar</t>
  </si>
  <si>
    <t>PHC Tappa</t>
  </si>
  <si>
    <t>PHC BICHPARI</t>
  </si>
  <si>
    <t>PHC DHANSU</t>
  </si>
  <si>
    <t>PHC PABRA</t>
  </si>
  <si>
    <t>PHC GAWAR</t>
  </si>
  <si>
    <t>PHC BALSAMAND</t>
  </si>
  <si>
    <t>PHC DATTA</t>
  </si>
  <si>
    <t>PHC GURANA</t>
  </si>
  <si>
    <t>PHC NANEOLA</t>
  </si>
  <si>
    <t>PHC UMRA</t>
  </si>
  <si>
    <t>PHC KHERI LACHAB</t>
  </si>
  <si>
    <t>PHC CHULI BAGRIAN</t>
  </si>
  <si>
    <t>PHC DOBHI</t>
  </si>
  <si>
    <t>PHC KAJLAN</t>
  </si>
  <si>
    <t>PHC NEOLI KALAN</t>
  </si>
  <si>
    <t>PHC BASS</t>
  </si>
  <si>
    <t>PHC PUTHI SAMIN</t>
  </si>
  <si>
    <t>PHC THURANA</t>
  </si>
  <si>
    <t>PHC PUTHI MANGAL KAHAN</t>
  </si>
  <si>
    <t>PHC NURPUR</t>
  </si>
  <si>
    <t>PHC SINDHAR</t>
  </si>
  <si>
    <t>Private</t>
  </si>
  <si>
    <t>GEETANJALI HOPITAL</t>
  </si>
  <si>
    <t>SHAKTI NEURO SCIENCE CENTRE</t>
  </si>
  <si>
    <t>PHC PANJOKHRA</t>
  </si>
  <si>
    <t>SARVODAYA MULTISPECIALITY &amp; CANCER HOSPITAL</t>
  </si>
  <si>
    <t>MAHATMA GANDHI INSTITUTE OF MEDICAL SCIENCES</t>
  </si>
  <si>
    <t>SUKHDA MULTISPECIALITY HOSPITAL</t>
  </si>
  <si>
    <t>PHC BIHTA</t>
  </si>
  <si>
    <t>VARDAAN HOSPITAL</t>
  </si>
  <si>
    <t>SUB DIVISIONAL CIVIL HOSPITAL HANSI</t>
  </si>
  <si>
    <t>SUB DIVISIONAL CIVIL HOSPITAL ADAMPUR</t>
  </si>
  <si>
    <t>SARVESH HEALTH CITY HISAR</t>
  </si>
  <si>
    <t>PHC KESRI</t>
  </si>
  <si>
    <t>SDH Narnaund</t>
  </si>
  <si>
    <t>Verma Multispeciality Hospital</t>
  </si>
  <si>
    <t>Yamuna Nagar</t>
  </si>
  <si>
    <t>CHC CHHACHHAULI</t>
  </si>
  <si>
    <t>022</t>
  </si>
  <si>
    <t>CHC BILASPUR</t>
  </si>
  <si>
    <t>CHC SADHAURA</t>
  </si>
  <si>
    <t>CHC MUSTAFABAD</t>
  </si>
  <si>
    <t>PHC UGALA</t>
  </si>
  <si>
    <t>CHC NAHARPUR</t>
  </si>
  <si>
    <t>CHC KHIZRABAD</t>
  </si>
  <si>
    <t>DISTRICT CIVIL HOSPITAL YANUNANAGAR</t>
  </si>
  <si>
    <t>PHC KHADRI</t>
  </si>
  <si>
    <t>PHC KHARWAN</t>
  </si>
  <si>
    <t>PHC HAIBATPUR</t>
  </si>
  <si>
    <t>PHC MUGALWALI</t>
  </si>
  <si>
    <t>PHC ALAHAR</t>
  </si>
  <si>
    <t>PHC ANTAWA</t>
  </si>
  <si>
    <t>PHC BURIA</t>
  </si>
  <si>
    <t>PHC KURALI</t>
  </si>
  <si>
    <t>PHC KALANAUR</t>
  </si>
  <si>
    <t>PHC SABAPUR</t>
  </si>
  <si>
    <t>PHC KOT</t>
  </si>
  <si>
    <t>PHC RASULPUR</t>
  </si>
  <si>
    <t>PHC ARNAULI</t>
  </si>
  <si>
    <t>PHC BHAMBHOL</t>
  </si>
  <si>
    <t>SUB DIVIONAL CIVIL HOSPITAL JAGADHRI</t>
  </si>
  <si>
    <t>CIVIL HOSPITAL RADAUR</t>
  </si>
  <si>
    <t>Jhajjar</t>
  </si>
  <si>
    <t>CHC DUBALDHAN</t>
  </si>
  <si>
    <t>008</t>
  </si>
  <si>
    <t>CHC DHIGAL</t>
  </si>
  <si>
    <t>CHC MULLANA</t>
  </si>
  <si>
    <t>PHC BHUREWALA</t>
  </si>
  <si>
    <t>CHC JAMALPUR</t>
  </si>
  <si>
    <t>CHC DHAKLA</t>
  </si>
  <si>
    <t>PHC CHHUHHAKWAS</t>
  </si>
  <si>
    <t>PHC JAHAZGARH</t>
  </si>
  <si>
    <t>PHC MAJRA</t>
  </si>
  <si>
    <t>PHC CHHUDANI</t>
  </si>
  <si>
    <t>PHC PATODA</t>
  </si>
  <si>
    <t>PHC BARHANA</t>
  </si>
  <si>
    <t>PHC CHANDSAULI</t>
  </si>
  <si>
    <t>PHC SALHAWAS</t>
  </si>
  <si>
    <t>PHC BAHU JHOLARI</t>
  </si>
  <si>
    <t>PHC JASSOURKHERI</t>
  </si>
  <si>
    <t>PHC NUNA MAJRA</t>
  </si>
  <si>
    <t>PHC BHAMBEVA</t>
  </si>
  <si>
    <t>OMKAR MULTISPECIALITY HOSPITAL</t>
  </si>
  <si>
    <t>AASHIRWAD MULTISPECIALITY HOSPITAL AND TRAUMA CENTRE</t>
  </si>
  <si>
    <t>WORLD COLLEGE OF MEDICAL SCIENCES AND RESEARCH AND HOSPITAL</t>
  </si>
  <si>
    <t>OSCAR SUPERSPECIALITY HOSPITAL &amp; TRAUMA CENTER PVT LTD</t>
  </si>
  <si>
    <t>MEDICARE SUPERSPECIALITY HOSPITAL AND TRAUMA CENTRE A UNIT OF COMFORTPLUS DISTRIBUTION PVT LTD</t>
  </si>
  <si>
    <t>PHC DHANANA</t>
  </si>
  <si>
    <t>CIVIL HOSPITAL MATANHAIL</t>
  </si>
  <si>
    <t>CIVIL HOSPITAL KHARHAR</t>
  </si>
  <si>
    <t>CIVIL HOSPITAL BAHADURGARH</t>
  </si>
  <si>
    <t>Jind</t>
  </si>
  <si>
    <t>CHC KHARAK RAMJI Jind</t>
  </si>
  <si>
    <t>009</t>
  </si>
  <si>
    <t>CHC KANDELA</t>
  </si>
  <si>
    <t>CHC MUANA</t>
  </si>
  <si>
    <t>CHC KALWA</t>
  </si>
  <si>
    <t>CHC UJHANA</t>
  </si>
  <si>
    <t>PHC PATHREHRI</t>
  </si>
  <si>
    <t>PHC KARSINDHU</t>
  </si>
  <si>
    <t>PHC CHATTAR</t>
  </si>
  <si>
    <t>PHC DHMERKHA KALAN</t>
  </si>
  <si>
    <t>PHC DURJANPUR</t>
  </si>
  <si>
    <t>PHC SINSAR</t>
  </si>
  <si>
    <t>PHC UCHANA KHURD</t>
  </si>
  <si>
    <t>PHC KINANA</t>
  </si>
  <si>
    <t>PHC LAJWANA KALAN</t>
  </si>
  <si>
    <t>PHC NINDANA</t>
  </si>
  <si>
    <t>M.M. COLLEGE OF MEDICAL SCIENCES &amp; RESEARCH</t>
  </si>
  <si>
    <t>PHC JAI JAIWANTI</t>
  </si>
  <si>
    <t>PHC SIWANAMAL</t>
  </si>
  <si>
    <t>PHC RAJANA KALAN</t>
  </si>
  <si>
    <t>PHC AMARGARH</t>
  </si>
  <si>
    <t>PHC DANODA KALAN</t>
  </si>
  <si>
    <t>PHC DHAMTAN SAHIB</t>
  </si>
  <si>
    <t>PHC DHANOURI</t>
  </si>
  <si>
    <t>PHC KARAMGARH</t>
  </si>
  <si>
    <t>PHC DARIYAWALA</t>
  </si>
  <si>
    <t>MEHNDIRATTA HOSPITAL</t>
  </si>
  <si>
    <t>PHC RAMRAI</t>
  </si>
  <si>
    <t>PHC DAULHA</t>
  </si>
  <si>
    <t>PHC HATT</t>
  </si>
  <si>
    <t>PHC DHARTHRAT</t>
  </si>
  <si>
    <t>PHC NAGURAN</t>
  </si>
  <si>
    <t>GOEL ORTHOPAEDIC CENTRE</t>
  </si>
  <si>
    <t>CIVIL HOSPITAL UCHANA</t>
  </si>
  <si>
    <t>DR MANOJ ORTHOPAEDIC AND MATERNITY HOSPITAL  JIND</t>
  </si>
  <si>
    <t>Khatri Hospital New bus stand narwana</t>
  </si>
  <si>
    <t>Bhargav Hospital Dhola kuwan narwana</t>
  </si>
  <si>
    <t xml:space="preserve">Jai ram Hospital </t>
  </si>
  <si>
    <t>Subham Hospital Narwana</t>
  </si>
  <si>
    <t>Attri Nursing Home</t>
  </si>
  <si>
    <t>Malik Hospital New bus stand</t>
  </si>
  <si>
    <t>AASTHA HOSPITAL Narwana</t>
  </si>
  <si>
    <t>The Max hospital Kanal road narwana</t>
  </si>
  <si>
    <t>Kaithal</t>
  </si>
  <si>
    <t>CHC RAJOUND</t>
  </si>
  <si>
    <t>010</t>
  </si>
  <si>
    <t>CHC PUNDRI</t>
  </si>
  <si>
    <t>CHC KAUL</t>
  </si>
  <si>
    <t>PHC DHAND</t>
  </si>
  <si>
    <t>PHC RASINA</t>
  </si>
  <si>
    <t>PHC TEEK</t>
  </si>
  <si>
    <t>PHC JAKHOLI</t>
  </si>
  <si>
    <t>PHC KARORA</t>
  </si>
  <si>
    <t>PHC KITHANA</t>
  </si>
  <si>
    <t>PHC HABRI</t>
  </si>
  <si>
    <t>PHC MUNDRI</t>
  </si>
  <si>
    <t>PHC PHARAL</t>
  </si>
  <si>
    <t>SUB DIVISIONAL CIVIL HOSPITAL KALAYAT</t>
  </si>
  <si>
    <t>Karnal</t>
  </si>
  <si>
    <t>CHC SAMBHALI</t>
  </si>
  <si>
    <t>011</t>
  </si>
  <si>
    <t>CHC GHARAUNDA</t>
  </si>
  <si>
    <t>CHC TARAORI</t>
  </si>
  <si>
    <t>CHC PADHA</t>
  </si>
  <si>
    <t>CHC NIGHDU</t>
  </si>
  <si>
    <t>CHC KUNJPURA</t>
  </si>
  <si>
    <t>CHC BALLAH</t>
  </si>
  <si>
    <t>CHC NISSING</t>
  </si>
  <si>
    <t>DISTRICT CIVIL HOSPITAL KARNAL</t>
  </si>
  <si>
    <t>PHC BARSAT</t>
  </si>
  <si>
    <t>PHC CHOURA</t>
  </si>
  <si>
    <t>PHC GAGSINA</t>
  </si>
  <si>
    <t>PHC KUTAIL</t>
  </si>
  <si>
    <t>PHC KHUKHNI</t>
  </si>
  <si>
    <t>PHC SAGGA</t>
  </si>
  <si>
    <t>PHC KACHHWA</t>
  </si>
  <si>
    <t>CHC CHARMASTPUR</t>
  </si>
  <si>
    <t>ROTARY Ambala CANCER AND GENERAL HOSPITAL</t>
  </si>
  <si>
    <t>PHC RAMBA</t>
  </si>
  <si>
    <t>PHC BAROTA</t>
  </si>
  <si>
    <t>PHC JUNDLA</t>
  </si>
  <si>
    <t>PHC SALWAN</t>
  </si>
  <si>
    <t>PHC GHEER</t>
  </si>
  <si>
    <t>PHC MADHUBAN</t>
  </si>
  <si>
    <t>RAMA SUPERSPECIALITY AND CRITICAL CARE HOSPITAL</t>
  </si>
  <si>
    <t>BALAJI HOSPITAL</t>
  </si>
  <si>
    <t>SUSHIL GARG HOSPITAL</t>
  </si>
  <si>
    <t>SHREE HARI HOSPITAL</t>
  </si>
  <si>
    <t>ARPANA HOSPITAL</t>
  </si>
  <si>
    <t>HARYANA NURSING HOME</t>
  </si>
  <si>
    <t>MEDLINE HOSPITAL</t>
  </si>
  <si>
    <t>AMRITDHARA MY HOSPITAL</t>
  </si>
  <si>
    <t>DR DHARAM DEV MEMORIAL HOSPITAL</t>
  </si>
  <si>
    <t>DUA MULTI SPECIALTY HOSPITAL</t>
  </si>
  <si>
    <t>SATYAM HOSPITAL</t>
  </si>
  <si>
    <t>ROHIT KATHPALIA UROLOGY CENTER</t>
  </si>
  <si>
    <t>BHATIA ORTHOPAEDIC CENTRE Karnal</t>
  </si>
  <si>
    <t>SHRI RAM CHAND MEMORIAL HOSPITAL PVT. LTD.</t>
  </si>
  <si>
    <t>VIRK HOSPITAL PVT LTD</t>
  </si>
  <si>
    <t>SUB DIVISIONAL CIVIL HOSPITAL ASSANDH</t>
  </si>
  <si>
    <t>SUB DIVISIONAL CIVIL HOSPITAL INDRI</t>
  </si>
  <si>
    <t>SUB DIVISIONAL CIVIL HOSPITAL NILOKHERI</t>
  </si>
  <si>
    <t>Kurukshetra</t>
  </si>
  <si>
    <t>CHC BARNA</t>
  </si>
  <si>
    <t>012</t>
  </si>
  <si>
    <t>CHC BABAIN</t>
  </si>
  <si>
    <t>CHC JHANSA</t>
  </si>
  <si>
    <t>CHC LADWA</t>
  </si>
  <si>
    <t>CHC MATHANA</t>
  </si>
  <si>
    <t>DISTRICT CIVIL HOSPITAL Kurukshetra</t>
  </si>
  <si>
    <t>PHC AMIN</t>
  </si>
  <si>
    <t>PHC DHURALA</t>
  </si>
  <si>
    <t>PHC KIRMACH</t>
  </si>
  <si>
    <t>PHC DEEG</t>
  </si>
  <si>
    <t>PHC TATKA</t>
  </si>
  <si>
    <t>PHC ISMAILABAD</t>
  </si>
  <si>
    <t>PHC KALSANA</t>
  </si>
  <si>
    <t>PHC THOL</t>
  </si>
  <si>
    <t>PHC GUDHA</t>
  </si>
  <si>
    <t>PHC RAMGARH ROR</t>
  </si>
  <si>
    <t>PHC SAINA SAIDA</t>
  </si>
  <si>
    <t>PHC THASKA MIRA JI</t>
  </si>
  <si>
    <t>SUB DIVISIONAL CIVIL HOSPITAL Ambala CANTT</t>
  </si>
  <si>
    <t>PHC KHANPUR KOLIAN</t>
  </si>
  <si>
    <t>PHC PIPLI</t>
  </si>
  <si>
    <t>BS HEART CARE AND MULTISPECIALITY HOSPITAL</t>
  </si>
  <si>
    <t>SUB DIVISIONAL CIVIL HOSPITAL NARAINGARH</t>
  </si>
  <si>
    <t>MIRI PIRI INSTITUTE OF MEDICAL SCIENCES AND RESEARCH</t>
  </si>
  <si>
    <t>CIVIL HOSPITAL SHAHABAD</t>
  </si>
  <si>
    <t>Mahendragarh</t>
  </si>
  <si>
    <t>CHC NANGAL SIROHI</t>
  </si>
  <si>
    <t>013</t>
  </si>
  <si>
    <t>Bhiwani</t>
  </si>
  <si>
    <t>GMC SUNRISE HOSPITAL A UNIT OF GIRIRAJ SUNRISE HEALTHCARE PRIVATE LIMITED</t>
  </si>
  <si>
    <t>002</t>
  </si>
  <si>
    <t>DISTRICT CIVIL HOSPITAL NARNAUL</t>
  </si>
  <si>
    <t>CHC BARARA</t>
  </si>
  <si>
    <t>Nuh</t>
  </si>
  <si>
    <t>CHC NUH</t>
  </si>
  <si>
    <t>014</t>
  </si>
  <si>
    <t>CHC PINAGWAN</t>
  </si>
  <si>
    <t>CHC PUNHANA</t>
  </si>
  <si>
    <t>CHC TAURU</t>
  </si>
  <si>
    <t>CHC FIROZPUR ZIRKHA</t>
  </si>
  <si>
    <t>AL AFIA HOSPITAL MANDIKHERA</t>
  </si>
  <si>
    <t>GIRDHAR MULTISPECIALITY HOSPITAL</t>
  </si>
  <si>
    <t>PHC BIWAN</t>
  </si>
  <si>
    <t>PHC MARORA</t>
  </si>
  <si>
    <t>PHC NAGINA</t>
  </si>
  <si>
    <t>PHC BAI</t>
  </si>
  <si>
    <t>PHC GHASERA</t>
  </si>
  <si>
    <t>PHC KALIYAKI</t>
  </si>
  <si>
    <t>PHC SUDAKA</t>
  </si>
  <si>
    <t>PHC UJINA</t>
  </si>
  <si>
    <t>PHC BICHHOR</t>
  </si>
  <si>
    <t>PHC BISRU</t>
  </si>
  <si>
    <t>DHAMIJA CHEST HOSPITAL</t>
  </si>
  <si>
    <t>PHC JAMAL GARH</t>
  </si>
  <si>
    <t>PHC SIKRAWA</t>
  </si>
  <si>
    <t>PHC SINGAR</t>
  </si>
  <si>
    <t>PHC TIGAON</t>
  </si>
  <si>
    <t>PHC JAURASI</t>
  </si>
  <si>
    <t>PHC MP AHIR</t>
  </si>
  <si>
    <t>PHC PADHENI</t>
  </si>
  <si>
    <t>CHC NANAKPUR</t>
  </si>
  <si>
    <t>CHC RAIPUR RANI</t>
  </si>
  <si>
    <t>SMSG HOSPITAL</t>
  </si>
  <si>
    <t>DISTRICT CIVIL HOSPITAL PANCHKULA</t>
  </si>
  <si>
    <t>PHC MORNI</t>
  </si>
  <si>
    <t>PHC HANGOLA</t>
  </si>
  <si>
    <t>SHARMA HOSPITAL</t>
  </si>
  <si>
    <t>Panipat</t>
  </si>
  <si>
    <t>CHC BAPOLI</t>
  </si>
  <si>
    <t>017</t>
  </si>
  <si>
    <t>CHC AHAR</t>
  </si>
  <si>
    <t>CHC DADLANA</t>
  </si>
  <si>
    <t>CHC NAULTHA</t>
  </si>
  <si>
    <t>CHC NARAINA</t>
  </si>
  <si>
    <t>CHC KHOTPURA</t>
  </si>
  <si>
    <t>CHC MADLAUDA</t>
  </si>
  <si>
    <t>DISTRICT CIVIL HOSPITAL Panipat</t>
  </si>
  <si>
    <t>PHC SEWAH</t>
  </si>
  <si>
    <t>PHC UGRAKHERI</t>
  </si>
  <si>
    <t>PHC SEENK</t>
  </si>
  <si>
    <t>PHC URLANA KALAN</t>
  </si>
  <si>
    <t>PHC KABRI</t>
  </si>
  <si>
    <t>Bhiwani HEART HOSPITAL</t>
  </si>
  <si>
    <t>PHC ISRANA</t>
  </si>
  <si>
    <t>PHC MANDI</t>
  </si>
  <si>
    <t>PHC ATTA</t>
  </si>
  <si>
    <t>PHC CHUKLANA</t>
  </si>
  <si>
    <t>PHC PATTI KALYANA</t>
  </si>
  <si>
    <t>PHC BARANA</t>
  </si>
  <si>
    <t>PHC UJHA</t>
  </si>
  <si>
    <t>PHC KAWI</t>
  </si>
  <si>
    <t>PHC RAIR KALAN</t>
  </si>
  <si>
    <t>CHHABRA HOSPITAL</t>
  </si>
  <si>
    <t>JB GUPTA HOSPITAL</t>
  </si>
  <si>
    <t>LALA HARBHAGWAN DASS MEMORIAL DR PREM HOSPITAL</t>
  </si>
  <si>
    <t>Jatindera Hospital Panipat</t>
  </si>
  <si>
    <t>rainbow hospital</t>
  </si>
  <si>
    <t>IBM HOSPITAL AND TRAUMA CENTRE</t>
  </si>
  <si>
    <t>CYGNUS MAHARAJA AGGERSSAIN HOSPITAL</t>
  </si>
  <si>
    <t>GUPTA EYE HOSPITAL</t>
  </si>
  <si>
    <t>R M ANAND HOSPITAL</t>
  </si>
  <si>
    <t>CHUGH HOSPITAL Bhiwani</t>
  </si>
  <si>
    <t>SHOBHIT HOSPITAL</t>
  </si>
  <si>
    <t>dr sombir hospital</t>
  </si>
  <si>
    <t>PAHUJA HOSPITAL</t>
  </si>
  <si>
    <t>JINDAL NURSING HOME</t>
  </si>
  <si>
    <t>DR HAWA SINGH CHILDREN HOSPITAL</t>
  </si>
  <si>
    <t>dev eye care</t>
  </si>
  <si>
    <t>AYUSHMAN BHAV HEALTH INSTITUTE</t>
  </si>
  <si>
    <t>MALIK HOSPITAL</t>
  </si>
  <si>
    <t>CHC AMBLI</t>
  </si>
  <si>
    <t>JANGRA HOSPITAL AND MATERNITY CENTRE</t>
  </si>
  <si>
    <t>GALAXY HOSPITAL AND TRAUMA CENTRE</t>
  </si>
  <si>
    <t>A.R. Mittal Hospital</t>
  </si>
  <si>
    <t>NC MEDICAL COLLEGE AND HOSPITAL ISRANA</t>
  </si>
  <si>
    <t>Bajaj Eye Centre</t>
  </si>
  <si>
    <t>Madaan Hospital</t>
  </si>
  <si>
    <t>DISHA CHILDRENS HOSPITAL &amp; DENTAL CARE CENTER</t>
  </si>
  <si>
    <t>Soni Burns &amp; Plastic Surgery Centre</t>
  </si>
  <si>
    <t>Malhotra Mother and Child Hospital</t>
  </si>
  <si>
    <t>DR.RAVINDERA MATERNITY &amp; GENERAL HOSPITAL</t>
  </si>
  <si>
    <t>THE KIDNEY HOSPITAL</t>
  </si>
  <si>
    <t>ANCHAL MATERNITY &amp; NURSING HOME</t>
  </si>
  <si>
    <t>DR SUMIT BONE &amp; JOINT CENTER</t>
  </si>
  <si>
    <t>DR PRITAM ARORA ENT CARE CENTRE</t>
  </si>
  <si>
    <t>hyderabadi general hospital &amp; nursing home</t>
  </si>
  <si>
    <t>MAGNUS HOSPITAL</t>
  </si>
  <si>
    <t>SHRI GURU NANAK HOSPITAL</t>
  </si>
  <si>
    <t>Aman Hospital</t>
  </si>
  <si>
    <t>Dr. Narayan Datt Hospital</t>
  </si>
  <si>
    <t>ANGEL CARE HOSPITAL</t>
  </si>
  <si>
    <t>SANKALP HOSPITAL</t>
  </si>
  <si>
    <t>DEVI MURTI HOSPITAL</t>
  </si>
  <si>
    <t>HEART AND MOTHER CARE HOSPITAL</t>
  </si>
  <si>
    <t>Oscar Super Speciality &amp; Trauma Centre A unit of Oscar Health Services</t>
  </si>
  <si>
    <t>Vardaan Stone and Kidney Hospital</t>
  </si>
  <si>
    <t>PANIPAT HEART HOSPITAL</t>
  </si>
  <si>
    <t>CITY HOSPITAL</t>
  </si>
  <si>
    <t>SUB DIVISIONAL CIVIL HOSPITAL SAMALKHA</t>
  </si>
  <si>
    <t>SPES HOSPITAL</t>
  </si>
  <si>
    <t>Rewari</t>
  </si>
  <si>
    <t>CHC MEERPUR</t>
  </si>
  <si>
    <t>018</t>
  </si>
  <si>
    <t>CHC KHOL</t>
  </si>
  <si>
    <t>CHC NAHAR</t>
  </si>
  <si>
    <t>CHC BAWAL</t>
  </si>
  <si>
    <t>DISTRICT CIVIL HOSPITAL Rewari</t>
  </si>
  <si>
    <t>PHC GANGICHA AHIR</t>
  </si>
  <si>
    <t>PHC BASS DUDHA</t>
  </si>
  <si>
    <t>PHC BOHATWAS AHIR</t>
  </si>
  <si>
    <t>PHC SIHA</t>
  </si>
  <si>
    <t>KADDAM MULTISPECIALITY HOSPITAL</t>
  </si>
  <si>
    <t>PHC GUDIYANI</t>
  </si>
  <si>
    <t>Sirsa</t>
  </si>
  <si>
    <t>CHC ODHAN</t>
  </si>
  <si>
    <t>020</t>
  </si>
  <si>
    <t>CHC RANIA</t>
  </si>
  <si>
    <t>CHC MADHOSINGHANA</t>
  </si>
  <si>
    <t>CHC BARAGUDHA</t>
  </si>
  <si>
    <t>CHC NATHUSARI CHOPTA</t>
  </si>
  <si>
    <t>CHC KALANWALI</t>
  </si>
  <si>
    <t>DISTRICT CIVIL HOSPITAL Sirsa</t>
  </si>
  <si>
    <t>PHC DESUJODHA</t>
  </si>
  <si>
    <t>PHC PANNIWALA MOTTA</t>
  </si>
  <si>
    <t>PHC BANI</t>
  </si>
  <si>
    <t>PHC DHOTTAR</t>
  </si>
  <si>
    <t>PHC KEHARWALA</t>
  </si>
  <si>
    <t>PHC BHAVDEEN</t>
  </si>
  <si>
    <t>PHC DARBI</t>
  </si>
  <si>
    <t>PHC PANIHARI</t>
  </si>
  <si>
    <t>PHC GANGA</t>
  </si>
  <si>
    <t>PHC GORIWALA</t>
  </si>
  <si>
    <t>PHC JOTTANWALI</t>
  </si>
  <si>
    <t>SINGLA HOSPITAL</t>
  </si>
  <si>
    <t>PHC KALUANA</t>
  </si>
  <si>
    <t>PHC JALMALERA</t>
  </si>
  <si>
    <t>PHC MALLEKAN</t>
  </si>
  <si>
    <t>PHC DARBA KALAN</t>
  </si>
  <si>
    <t>PHC DING</t>
  </si>
  <si>
    <t>PHC JAMAL</t>
  </si>
  <si>
    <t>PHC KAGDANA</t>
  </si>
  <si>
    <t>PHC RANDHAWA</t>
  </si>
  <si>
    <t>PHC DADU</t>
  </si>
  <si>
    <t>PHC RORI</t>
  </si>
  <si>
    <t>PANWAR HOSPITAL</t>
  </si>
  <si>
    <t>SUB DIVISIONAL CIVIL HOSPITAL DABWALI</t>
  </si>
  <si>
    <t>CIVIL HOSPITAL CHAUTALA</t>
  </si>
  <si>
    <t>SUB DIVISIONAL CIVIL HOSPITAL ELLANABAD</t>
  </si>
  <si>
    <t>LIFE LINE MULTI SPECIALITY HOSPITAL</t>
  </si>
  <si>
    <t>MAHENDRA HOSPITAL</t>
  </si>
  <si>
    <t>GOEL HOSPITAL</t>
  </si>
  <si>
    <t>KAPIL HOSPITAL</t>
  </si>
  <si>
    <t>AGGARWAL HOSPITAL</t>
  </si>
  <si>
    <t>GOYAL EYE CARE CENTRE JAGADHRI</t>
  </si>
  <si>
    <t>KOHLI HOSPITAL</t>
  </si>
  <si>
    <t>SHREE MEDICAL CARE CENTRE</t>
  </si>
  <si>
    <t>JindAL HOSPITAL A UNIT OF JindAL LIFECARE P</t>
  </si>
  <si>
    <t>RAHUL GOYAL TRAUMA AND JOINT REPLACEMENT CENTER</t>
  </si>
  <si>
    <t>ISHAAN HOSPITAL</t>
  </si>
  <si>
    <t>CAPITAL SUPERSPECIALITY HOSPITAL</t>
  </si>
  <si>
    <t>SABBARWAL HOSPITAL</t>
  </si>
  <si>
    <t>K B GUPTA HOSPITAL</t>
  </si>
  <si>
    <t>VIGHNESH HOSPITAL</t>
  </si>
  <si>
    <t>VIKRAM HOSPITAL</t>
  </si>
  <si>
    <t>SUDHIR HOSPITAL</t>
  </si>
  <si>
    <t>RAJ HOSPITAL</t>
  </si>
  <si>
    <t>SWAMI VIVEKANAND MULTISPECIALITY HOSPITAL</t>
  </si>
  <si>
    <t>DISTRICT CIVIL HOSPITAL Ambala CITY</t>
  </si>
  <si>
    <t>Faridabad</t>
  </si>
  <si>
    <t>PARK HOSPITAL A UNIT OF AGGARWAL HOSPITAL AND RESEARCH SERVICES PVT LTD</t>
  </si>
  <si>
    <t>004</t>
  </si>
  <si>
    <t>GULATI HOSPITAL</t>
  </si>
  <si>
    <t>VISHAL HOSPITAL</t>
  </si>
  <si>
    <t>SANTOSH HOSPITAL</t>
  </si>
  <si>
    <t>DABRA HOSPITAL</t>
  </si>
  <si>
    <t>AASHIRWAD HOSPITAL</t>
  </si>
  <si>
    <t>NEO MEDICARE</t>
  </si>
  <si>
    <t>PARAS HOSPITAL</t>
  </si>
  <si>
    <t>RK GUPTA HOSPITAL</t>
  </si>
  <si>
    <t>CHADHA HOSPITAL</t>
  </si>
  <si>
    <t>GABA HOSPITAL</t>
  </si>
  <si>
    <t xml:space="preserve">Rukmani </t>
  </si>
  <si>
    <t>Bala ji Hospital</t>
  </si>
  <si>
    <t>PHC PADHANA</t>
  </si>
  <si>
    <t>CHC GURAWARA</t>
  </si>
  <si>
    <t>PHC MASANI</t>
  </si>
  <si>
    <t>PHC DAHINA</t>
  </si>
  <si>
    <t>PHC FATEHPURI</t>
  </si>
  <si>
    <t>PHC JATUSANA</t>
  </si>
  <si>
    <t>PHC BAWWA</t>
  </si>
  <si>
    <t>PHC RATHANTHAL</t>
  </si>
  <si>
    <t>PHC KASOLA</t>
  </si>
  <si>
    <t>PHC SANGWARI</t>
  </si>
  <si>
    <t>PHC TANKRI</t>
  </si>
  <si>
    <t>PHC DHARUHERA</t>
  </si>
  <si>
    <t>PHC BHARAWAS</t>
  </si>
  <si>
    <t>Rohtak</t>
  </si>
  <si>
    <t>CHC KAHNAUR</t>
  </si>
  <si>
    <t>019</t>
  </si>
  <si>
    <t>CHC LAKHANMAJRA</t>
  </si>
  <si>
    <t>PHC BANIYANI</t>
  </si>
  <si>
    <t>PHC DAULATABAD</t>
  </si>
  <si>
    <t>PHC FARMANA</t>
  </si>
  <si>
    <t>SHREE HOSPITAL Rohtak</t>
  </si>
  <si>
    <t>MEDSTAR MULTI &amp; SUPER SPECIALITY HOSPITAL</t>
  </si>
  <si>
    <t>MK SUPER SPECIALITY HOSPITAL PRIVATE LIMITED</t>
  </si>
  <si>
    <t>ADVANTA SUPER SPECIALITY HOSPITAL</t>
  </si>
  <si>
    <t>SHIVAM LIVER GASTRO SUPER SPECIALITY HOSPITAL</t>
  </si>
  <si>
    <t>NOBLE HEART AND SUPER SPECIALTY HOSPITAL</t>
  </si>
  <si>
    <t>OSCARSUPER SPECIALITY HOSPITAL &amp; TRAUMA CENTER</t>
  </si>
  <si>
    <t>ARS HOLY HEART ADVANCED CARDIAC CARE &amp; RESEARCH CENTRE</t>
  </si>
  <si>
    <t>TIRUPATI MULTISPECIALITY HOSPITAL</t>
  </si>
  <si>
    <t>MANN MULTISPECIALITY HOSPITAL</t>
  </si>
  <si>
    <t>HOODA HOSPITAL</t>
  </si>
  <si>
    <t>MANSAROVER HOSPITAL</t>
  </si>
  <si>
    <t>SANJEEVANI PLUS HOSPITAL</t>
  </si>
  <si>
    <t>PHC HAZIPUR</t>
  </si>
  <si>
    <t>JOYLINE MULTISPECIALITY HOSPITAL</t>
  </si>
  <si>
    <t>KAINOS SUPER SPECIALITY HOSPITAL</t>
  </si>
  <si>
    <t>SUNFLAG GLOBAL HOSPITAL</t>
  </si>
  <si>
    <t>WE CARE MULTISPECIALITY HOSPITAL</t>
  </si>
  <si>
    <t>APEX PLUS SUPERSPECIALTY HOSPITAL</t>
  </si>
  <si>
    <t>HOLY HEART SUPER SPECIALITY &amp; TRAUMA CENTRE</t>
  </si>
  <si>
    <t>Rohtak CANCER CARE HOSPITAL&amp; RESEARCH CENTRE</t>
  </si>
  <si>
    <t>PHC WAZIRABAD</t>
  </si>
  <si>
    <t>CHC PALI</t>
  </si>
  <si>
    <t>CHC TIGAON</t>
  </si>
  <si>
    <t>CHC KHERI KALAN</t>
  </si>
  <si>
    <t>CHC KURALI</t>
  </si>
  <si>
    <t>DISTRICT CIVIL HOSPITAL Faridabad</t>
  </si>
  <si>
    <t>PHC DHOJ</t>
  </si>
  <si>
    <t>PHC MANDPURA</t>
  </si>
  <si>
    <t>PHC FATEHPUR TAGA</t>
  </si>
  <si>
    <t>PHC PALLA</t>
  </si>
  <si>
    <t>PHC FATEHPUR BILLOCH</t>
  </si>
  <si>
    <t>PHC MOHNA</t>
  </si>
  <si>
    <t>PHC PANHERA KHURD</t>
  </si>
  <si>
    <t>PHC SIKRI</t>
  </si>
  <si>
    <t>PHC ANANDPUR</t>
  </si>
  <si>
    <t>SUPREME HOSPITAL PRIVATE LIMITED</t>
  </si>
  <si>
    <t>AL FALAH HOSPITAL</t>
  </si>
  <si>
    <t>APURVA NURSING HOME</t>
  </si>
  <si>
    <t>PHC BADSHAPUR</t>
  </si>
  <si>
    <t>SHANTI DEVI MEMORIAL HOSPITAL</t>
  </si>
  <si>
    <t>GOYAL HOSPITAL</t>
  </si>
  <si>
    <t>R K HOSPITAL</t>
  </si>
  <si>
    <t>KEDAR HOSPITAL</t>
  </si>
  <si>
    <t>MANAVTA HOSPITALS PRIVATE LIMITED</t>
  </si>
  <si>
    <t>ASIAN INSTITUTE OF MEDICAL SCIENCES</t>
  </si>
  <si>
    <t>DOCTOR TODAY IVF AND MULTI SPECIALTY HOSPITAL</t>
  </si>
  <si>
    <t>CENTRE FOR SIGHT Faridabad</t>
  </si>
  <si>
    <t>PAWAN HOSPITAL</t>
  </si>
  <si>
    <t>HANDA MEDICAL CENTRE</t>
  </si>
  <si>
    <t>AMRITA INSTITUTE OF MEDICAL SCIENCES AND RESEARCH CENTRE</t>
  </si>
  <si>
    <t>SURYA ORTHO AND TRAUMA CENTRE</t>
  </si>
  <si>
    <t>SARVODAYA HOSPITAL AND RESEARCH CENTRE A UNIT OF ANSHU HOSPITALS LTD</t>
  </si>
  <si>
    <t>ARSH HOSPITAL</t>
  </si>
  <si>
    <t>SUB DIVISIONAL CIVIL HOSPITAL BALLABHGARH</t>
  </si>
  <si>
    <t>DISTRICT CIVIL HOSPITAL Kaithal</t>
  </si>
  <si>
    <t>PHC BALU</t>
  </si>
  <si>
    <t>PHC PALRA</t>
  </si>
  <si>
    <t>PHC DEOBAN</t>
  </si>
  <si>
    <t>PHC SAJUMA</t>
  </si>
  <si>
    <t>PHC AGONDH</t>
  </si>
  <si>
    <t>PHC ARNOLI</t>
  </si>
  <si>
    <t>PHC BHAGAL</t>
  </si>
  <si>
    <t>PHC KANGTHALI</t>
  </si>
  <si>
    <t>PHC KHARAKAN</t>
  </si>
  <si>
    <t>PHC KEORAK</t>
  </si>
  <si>
    <t>PHC PADLA</t>
  </si>
  <si>
    <t>PHC PAI</t>
  </si>
  <si>
    <t>SHAH HOSPITAL</t>
  </si>
  <si>
    <t>OM MULTISPECIALITY HOSPITAL &amp; TRAUMA CENTER</t>
  </si>
  <si>
    <t>CYGNUS SUPERSPECIALITY HOSPITAL</t>
  </si>
  <si>
    <t>JAIPUR HOSPITAL</t>
  </si>
  <si>
    <t>JAIN HOSPITAL</t>
  </si>
  <si>
    <t>KIRTI HOSPITAL</t>
  </si>
  <si>
    <t>JANTA MULTISPECIALITY HOSPITAL</t>
  </si>
  <si>
    <t>SOOD HOSPITAL</t>
  </si>
  <si>
    <t>PHC NAKHROLA</t>
  </si>
  <si>
    <t>GUPTA MULTI SPECIALITY HOSPITAL</t>
  </si>
  <si>
    <t>LIFE CARE HOSPITAL</t>
  </si>
  <si>
    <t>CIVIL HOSPITAL GULHA</t>
  </si>
  <si>
    <t>ISHWAR HOSPITAL Ambala CITY</t>
  </si>
  <si>
    <t>GUARDIAN HOSPITAL</t>
  </si>
  <si>
    <t>CHC SIWAN</t>
  </si>
  <si>
    <t>SADBHAVNA HOSPITAL</t>
  </si>
  <si>
    <t>LAMBA MULTISPECIALTY HOSPITAL</t>
  </si>
  <si>
    <t>THE SIGNATURE HOSPITAL A UNIT OF PARK MEDICITY NORTH PVT LTD</t>
  </si>
  <si>
    <t>CIVIL HOSPITAL SARASWATI KHERA BHATMAJRA PEHOWA</t>
  </si>
  <si>
    <t>KHARB HOSPITAL</t>
  </si>
  <si>
    <t>PANCHAL HOSPITAL</t>
  </si>
  <si>
    <t>UHC</t>
  </si>
  <si>
    <t>URBAN HEALTH CENTER GHOSLI SEC 12 PANIPAT</t>
  </si>
  <si>
    <t>BHANOT HOSPITAL</t>
  </si>
  <si>
    <t>SHIVALIK HOSPITALÂ </t>
  </si>
  <si>
    <t>CHC BHUTHAN KALAN</t>
  </si>
  <si>
    <t>CHC JAKHAL</t>
  </si>
  <si>
    <t>CHC BHATTU KALAN</t>
  </si>
  <si>
    <t>CHC BADOPAL</t>
  </si>
  <si>
    <t>DISTRICT CIVIL HOSPITAL Fatehabad</t>
  </si>
  <si>
    <t>PHC AHERWAN</t>
  </si>
  <si>
    <t>PHC BHIRDANA</t>
  </si>
  <si>
    <t>PHC HASSINGA</t>
  </si>
  <si>
    <t>PHC MEHMARA</t>
  </si>
  <si>
    <t>PHC NAGPUR</t>
  </si>
  <si>
    <t>PHC INDACHHOI</t>
  </si>
  <si>
    <t>PHC MAMUPUR</t>
  </si>
  <si>
    <t>CHIRAG HOSPITAL</t>
  </si>
  <si>
    <t>PHC MEYOND KALAN</t>
  </si>
  <si>
    <t>PHC BANGAON</t>
  </si>
  <si>
    <t>PHC KHABRAKALAN</t>
  </si>
  <si>
    <t>PHC KHAIRATI KHERA</t>
  </si>
  <si>
    <t>PHC PILIMANDORI</t>
  </si>
  <si>
    <t>PHC BIGHAR</t>
  </si>
  <si>
    <t>PHC HIJRAWANKALAN</t>
  </si>
  <si>
    <t>PHC MP ROHI</t>
  </si>
  <si>
    <t>UMEED MULTISPECIALITY HOSPITAL &amp; TRAUMA CENTRE</t>
  </si>
  <si>
    <t>PHC NAHONI</t>
  </si>
  <si>
    <t>KAMLA HOSPITAL</t>
  </si>
  <si>
    <t>RAJASTHAN MEDICAL CENTER</t>
  </si>
  <si>
    <t>SUB DIVISIONAL CIVIL HOSPITAL RATIA</t>
  </si>
  <si>
    <t>SUB DIVISIONAL CIVIL HOSPITAL TOHANA</t>
  </si>
  <si>
    <t>SANTOSH MULTISPECIALITY HOSPITAL</t>
  </si>
  <si>
    <t>JEEVAN JYOTI HOSPITAL</t>
  </si>
  <si>
    <t>DUDI HOSPITAL</t>
  </si>
  <si>
    <t>JAI BALAJI MULTISPECIALTY HOSPITAL</t>
  </si>
  <si>
    <t>UMKAL HOSPITAL PVT LTD</t>
  </si>
  <si>
    <t>ASHIRWAD MULTI SPECIALITY HOSPITAL</t>
  </si>
  <si>
    <t xml:space="preserve">KARWASRA BONE AND JOINT HOSPITAL </t>
  </si>
  <si>
    <t>JAIN ORTHOPEDIC AND MULTISPECIALTY HOSPITAL</t>
  </si>
  <si>
    <t>SANJIVANI HOSPITAL</t>
  </si>
  <si>
    <t>POONIA HOSPITAL</t>
  </si>
  <si>
    <t>SHREE HOSPITAL</t>
  </si>
  <si>
    <t>APEX HOSPITAL AND RESEARCH CENTRE</t>
  </si>
  <si>
    <t>SHAH SATNAM JI SPECIALITY HOSPITALS</t>
  </si>
  <si>
    <t>MOHAR SINGH SURGICAL AND MATERNITY HOSPITAL</t>
  </si>
  <si>
    <t>SHREE SWASTIK HOSPITAL</t>
  </si>
  <si>
    <t>SURAKSHA MULTISPECIALITY HOSPITAL</t>
  </si>
  <si>
    <t>ORTHOHEAL HOSPITAL</t>
  </si>
  <si>
    <t>CITY HEALTHCARE &amp; NEURO RESEARCH CENTRE</t>
  </si>
  <si>
    <t>AZAD SURGICAL HOSPITAL</t>
  </si>
  <si>
    <t>RAKSHIT HOSPITAL</t>
  </si>
  <si>
    <t>PARAS BONE JOINT AND GENERAL HOSPITAL</t>
  </si>
  <si>
    <t>SHIVAM HOSPITAL</t>
  </si>
  <si>
    <t>ASTHA HOSPITAL</t>
  </si>
  <si>
    <t>KRITI HOSPITAL</t>
  </si>
  <si>
    <t>MEDICITI A MULTISPECIALITY HOSPITAL</t>
  </si>
  <si>
    <t>SPS HOSPITAL</t>
  </si>
  <si>
    <t>SIGMA HOSPITAL</t>
  </si>
  <si>
    <t>MD VARDAAN HOSPITAL</t>
  </si>
  <si>
    <t>CARE HOSPITAL</t>
  </si>
  <si>
    <t>MANDEEP HEART HOSPITAL</t>
  </si>
  <si>
    <t>CHAUDHARY ORTHOPEDIC AND GENERAL HOSPITAL</t>
  </si>
  <si>
    <t>NEERAJ HOSPITAL</t>
  </si>
  <si>
    <t>GILL HOSPITAL</t>
  </si>
  <si>
    <t>SUKHMANI HOSPITAL</t>
  </si>
  <si>
    <t>AHOOJA EYE AND DENTAL INSTITUTE</t>
  </si>
  <si>
    <t xml:space="preserve">Hope Hospital </t>
  </si>
  <si>
    <t>Delhi Spine &amp; Neuro Hospital</t>
  </si>
  <si>
    <t>PHC KHARIAN</t>
  </si>
  <si>
    <t>Sheetla Hospital &amp; Eye Q Pvt. Ltd</t>
  </si>
  <si>
    <t>Paras Hospital</t>
  </si>
  <si>
    <t>Sri Balaji Navchetna Hospital</t>
  </si>
  <si>
    <t>DR JALES LIFE CARE HOSPITAL</t>
  </si>
  <si>
    <t>UHC SEHATPUR</t>
  </si>
  <si>
    <t>UHC Sanjay Colony sec-23</t>
  </si>
  <si>
    <t>UPHC PARTAPGARH</t>
  </si>
  <si>
    <t>UPHC Rajeev colony</t>
  </si>
  <si>
    <t>uphc nangla enclave</t>
  </si>
  <si>
    <t>UPHC Shiv Durga Vihar</t>
  </si>
  <si>
    <t>UPHC AC NAGAR</t>
  </si>
  <si>
    <t>Metro Heart Institute with Multispeciality</t>
  </si>
  <si>
    <t>NATIONAL INSTITUTE OF MEDICAL SCIENCES</t>
  </si>
  <si>
    <t>PAWAN HOSPITAL UNIT 2</t>
  </si>
  <si>
    <t>Centre Hospital and Critical Care(Unit of GPG Healthcare Pvt Ltd)</t>
  </si>
  <si>
    <t>Met Hospital  Rampura</t>
  </si>
  <si>
    <t>Parkash Hospital  Manesar</t>
  </si>
  <si>
    <t>Astha Hospital  Bilaspur</t>
  </si>
  <si>
    <t>SADH Care Hospital  Ashram Hari Mandir  Pataudi</t>
  </si>
  <si>
    <t>Park hospital  Palam Vihar</t>
  </si>
  <si>
    <t>JINDAL ORTHO SURGICAL &amp; DENTAL HOSPITAL</t>
  </si>
  <si>
    <t>MITTAL SURGICAL AND MATERNITY HOSPITAL</t>
  </si>
  <si>
    <t>EKTAA HOSPITALS</t>
  </si>
  <si>
    <t>PHC Batta</t>
  </si>
  <si>
    <t>CoERS (Testing)</t>
  </si>
  <si>
    <t>BOMBAY HOSPITAL  Chautala Road Mandi Dabwali</t>
  </si>
  <si>
    <t>Dr. Gulhati Nursing Home Multi Specialty Hospital</t>
  </si>
  <si>
    <t>Polyclinic Sector - 4  Kurukshetra</t>
  </si>
  <si>
    <t>HOLY NURSING HOME</t>
  </si>
  <si>
    <t>D.M.C. HOSPITAL</t>
  </si>
  <si>
    <t>BIKANER NURSING HOME</t>
  </si>
  <si>
    <t>APNA HOSPITAL Orthopaedic &amp; Trauma Center  Red Road Kurukshetra</t>
  </si>
  <si>
    <t>Anand Orthopaedic Centre</t>
  </si>
  <si>
    <t>Saini surgical hospital</t>
  </si>
  <si>
    <t>LIFE CARE HOSPITAL  SHAHABAD MARKANDA</t>
  </si>
  <si>
    <t>SHRI SHYAM HOSPITAL &amp; MATERNITY HOME</t>
  </si>
  <si>
    <t>AGARWAL NURSING HOME  Salarpur Road</t>
  </si>
  <si>
    <t>Pawan Surgical Hospital</t>
  </si>
  <si>
    <t xml:space="preserve">KD HOSPITAL </t>
  </si>
  <si>
    <t>C.LALL HOSPITAL</t>
  </si>
  <si>
    <t>BHARAT MULTISPECIALITY HOSPITAL  Hisar</t>
  </si>
  <si>
    <t>PHC SAMLEHRI</t>
  </si>
  <si>
    <t>PHC MACHROLI</t>
  </si>
  <si>
    <t>PHC JAHANGIRPUR</t>
  </si>
  <si>
    <t>PHC KANNODA</t>
  </si>
  <si>
    <t>MONGA HOSPITAL AND STONE CENTER</t>
  </si>
  <si>
    <t>ABC</t>
  </si>
  <si>
    <t>CHC BADLI</t>
  </si>
  <si>
    <t>PHC LILODH</t>
  </si>
  <si>
    <t>PHC AKERA</t>
  </si>
  <si>
    <t>DR S P YADAV MULTISPECIALITY HOSPITAL</t>
  </si>
  <si>
    <t>MAYOM HOSPITAL</t>
  </si>
  <si>
    <t>MEDICARE HOSPITAL</t>
  </si>
  <si>
    <t>SHRI BALAJI HOSPITAL</t>
  </si>
  <si>
    <t>DR R B YADAV HOSPITAL</t>
  </si>
  <si>
    <t>YADUVANSHI HOSPITAL</t>
  </si>
  <si>
    <t>VEDANTA HOSPITAL</t>
  </si>
  <si>
    <t>PUSHPANJALI HOSPITAL</t>
  </si>
  <si>
    <t>CAPT NANDLAL YADAV HOSPITAL</t>
  </si>
  <si>
    <t>SAVITRI DEVI HOSPITAL</t>
  </si>
  <si>
    <t>DEEP HOSPITAL</t>
  </si>
  <si>
    <t>DEV JYOTI HOSPITAL</t>
  </si>
  <si>
    <t>MAARS HOSPITAL AND HEART INSTITUTE</t>
  </si>
  <si>
    <t>CIVIL HOSPITAL KOSLI</t>
  </si>
  <si>
    <t>PHILADELPHIA HOSPITAL</t>
  </si>
  <si>
    <t>JP SURGICAL HOSPITAL</t>
  </si>
  <si>
    <t>N.P SINGH HOSPITAL</t>
  </si>
  <si>
    <t>NARAIN HOSPITAL</t>
  </si>
  <si>
    <t>PANKAJ GARG HOSPITAL</t>
  </si>
  <si>
    <t>SARWAL HOSPITAL</t>
  </si>
  <si>
    <t>AAROGYA HOSPITAL</t>
  </si>
  <si>
    <t>M.M. HOSPITAL (MAYA DEVI MEMORIAL)</t>
  </si>
  <si>
    <t>CHC MANHERU</t>
  </si>
  <si>
    <t>CHC DHANANA</t>
  </si>
  <si>
    <t>CHC KAIRU</t>
  </si>
  <si>
    <t>CHC MIRAN</t>
  </si>
  <si>
    <t>DISTRICT CIVIL HOSPITAL Bhiwani</t>
  </si>
  <si>
    <t>PHC BUSAN</t>
  </si>
  <si>
    <t>CIVIL HOSPITAL HAILY MANDI</t>
  </si>
  <si>
    <t>PHC SANDWA</t>
  </si>
  <si>
    <t>PHC BAMLA</t>
  </si>
  <si>
    <t>PHC KHARAK KALAN</t>
  </si>
  <si>
    <t>PHC NANDGAON</t>
  </si>
  <si>
    <t>PHC BEHAL</t>
  </si>
  <si>
    <t>PHC DHIGAWA JATAN</t>
  </si>
  <si>
    <t>PHC NAKIPUR</t>
  </si>
  <si>
    <t>PHC SOHANSARA</t>
  </si>
  <si>
    <t>PHC BARWA</t>
  </si>
  <si>
    <t>PHC GURERA</t>
  </si>
  <si>
    <t>PHC JHUMPA KALAN</t>
  </si>
  <si>
    <t>PHC LILAS</t>
  </si>
  <si>
    <t>PHC CHANG</t>
  </si>
  <si>
    <t>PHC SUI</t>
  </si>
  <si>
    <t>PHC TALU</t>
  </si>
  <si>
    <t>PHC DHANIMAHU</t>
  </si>
  <si>
    <t>PHC DINOD</t>
  </si>
  <si>
    <t>PHC JUI KALAN</t>
  </si>
  <si>
    <t>PHC ALAKHPURA</t>
  </si>
  <si>
    <t>PHC PUR</t>
  </si>
  <si>
    <t>CIVIL HOSPITAL SECTOR 10 Gurugram</t>
  </si>
  <si>
    <t>KALYAN HOSPITAL</t>
  </si>
  <si>
    <t>PARAM HOSPITAL</t>
  </si>
  <si>
    <t>SHRI BABA YOGI NETANATH HOSPITAL &amp; RESEARCH CENTRE</t>
  </si>
  <si>
    <t>MALIK MULTISPECIALITY HOSPITAL &amp; TRAUMA CENTRE</t>
  </si>
  <si>
    <t>SHREE GANESHA HOSPITAL</t>
  </si>
  <si>
    <t>RPS HOSPITAL MATERNITY &amp; TRAUMA CENTRE</t>
  </si>
  <si>
    <t>SUB DIVISIONAL CIVIL HOSPITAL TOSHAM</t>
  </si>
  <si>
    <t>SUB DIVISIONAL CIVIL HOSPITAL LOHARU</t>
  </si>
  <si>
    <t>SUB DIVISIONAL CIVIL HOSPITAL SIWANI</t>
  </si>
  <si>
    <t>Sector 51  Gurugram Haryana</t>
  </si>
  <si>
    <t>CIVIL HOSPITAL DEVRALA</t>
  </si>
  <si>
    <t>SUB DIVISIONAL CIVIL HOSPITAL BAWANI KHERA</t>
  </si>
  <si>
    <t>PHC GHOGRIAN</t>
  </si>
  <si>
    <t>SARVODYA HOSPITAL Jind</t>
  </si>
  <si>
    <t>SUB DIVISIONAL CIVIL HOSPITAL NARWANA</t>
  </si>
  <si>
    <t>HEALING TOUCH SUPER SPECIALITY HOSPITAL A UNIT BLUE HEAVENS HEALTH CARE PVT LTD</t>
  </si>
  <si>
    <t>CK BIRLA HOSPITAL</t>
  </si>
  <si>
    <t>VIRAT HOSPITALS</t>
  </si>
  <si>
    <t>BANSAL GLOBAL HOSPITAL</t>
  </si>
  <si>
    <t>SHARMA NURSING AND MATERNITY HOME</t>
  </si>
  <si>
    <t>PHC BIRAN</t>
  </si>
  <si>
    <t>MAHARAJA AGRASEN HOSPITAL</t>
  </si>
  <si>
    <t>PHC KULLAN</t>
  </si>
  <si>
    <t>PHC SAMAIN</t>
  </si>
  <si>
    <t>SONI BURN AND PLASTIC SURGERY HOSPITAL</t>
  </si>
  <si>
    <t>N. C. Jindal Institute of Medical Care &amp; Reserach</t>
  </si>
  <si>
    <t>O. P. Jindal Institute of Cancer &amp; Cardiac Research</t>
  </si>
  <si>
    <t xml:space="preserve">GARG HOSPITAL </t>
  </si>
  <si>
    <t>Apollo Clinic Faridabad  Laticare SVR India PVT.LTD</t>
  </si>
  <si>
    <t xml:space="preserve">Manthan Hospital </t>
  </si>
  <si>
    <t>Deepansh Bhatia Nursing Home  Tohana</t>
  </si>
  <si>
    <t>KAKKAR NURSING HOME</t>
  </si>
  <si>
    <t>Hospital ID</t>
  </si>
  <si>
    <t>Record ID</t>
  </si>
  <si>
    <t>State</t>
  </si>
  <si>
    <t>District</t>
  </si>
  <si>
    <t>Hospital Name</t>
  </si>
  <si>
    <t>Pincode</t>
  </si>
  <si>
    <t>Hospital Type</t>
  </si>
  <si>
    <t>GPS Location</t>
  </si>
  <si>
    <t>29.77552 , 76.41003</t>
  </si>
  <si>
    <t>Manipal Hospital, Gurugram</t>
  </si>
  <si>
    <t>28.50358 , 77.04492</t>
  </si>
  <si>
    <t>30.70398 , 76.90092</t>
  </si>
  <si>
    <t>30.10148 , 77.275</t>
  </si>
  <si>
    <t>29.93261 , 76.7221</t>
  </si>
  <si>
    <t>29.70283 , 74.90854</t>
  </si>
  <si>
    <t>30.28297 , 76.71056</t>
  </si>
  <si>
    <t>29.96938 , 76.86055</t>
  </si>
  <si>
    <t>30.15311 , 77.31937</t>
  </si>
  <si>
    <t>30.03427 , 77.20822</t>
  </si>
  <si>
    <t>27.80045 , 76.95256</t>
  </si>
  <si>
    <t>28.90345 , 76.57194</t>
  </si>
  <si>
    <t>28.66872 , 77.17192</t>
  </si>
  <si>
    <t>29.76378 , 76.5609</t>
  </si>
  <si>
    <t>30.13852 , 77.30117</t>
  </si>
  <si>
    <t>29.7934 , 76.4222</t>
  </si>
  <si>
    <t>28.99308 , 77.01507</t>
  </si>
  <si>
    <t>28.44633 , 76.9916</t>
  </si>
  <si>
    <t>28.45705 , 76.32998</t>
  </si>
  <si>
    <t>29.99809 , 77.03342</t>
  </si>
  <si>
    <t>29.31916 , 76.99052</t>
  </si>
  <si>
    <t>30.39232 , 76.79836</t>
  </si>
  <si>
    <t>28.80094 , 76.14127</t>
  </si>
  <si>
    <t>29.53052 , 76.98514</t>
  </si>
  <si>
    <t>29.68781 , 76.99825</t>
  </si>
  <si>
    <t>29.43055 , 74.92088</t>
  </si>
  <si>
    <t>29.4038 , 76.97085</t>
  </si>
  <si>
    <t>28.26443 , 77.39979</t>
  </si>
  <si>
    <t>29.78566 , 74.5293</t>
  </si>
  <si>
    <t>29.54455 , 75.06314</t>
  </si>
  <si>
    <t>29.81876 , 76.39904</t>
  </si>
  <si>
    <t>29.49163 , 76.86056</t>
  </si>
  <si>
    <t>30.90096 , 75.85728</t>
  </si>
  <si>
    <t>29.31151 , 76.88363</t>
  </si>
  <si>
    <t>29.70815 , 75.90863</t>
  </si>
  <si>
    <t>29.54461 , 75.02606</t>
  </si>
  <si>
    <t>28.2772 , 77.32094</t>
  </si>
  <si>
    <t>30.2403 , 77.1363</t>
  </si>
  <si>
    <t>30.37759 , 76.86056</t>
  </si>
  <si>
    <t>30.14911 , 77.3058</t>
  </si>
  <si>
    <t>29.57813 , 76.47944</t>
  </si>
  <si>
    <t>28.99051 , 76.98735</t>
  </si>
  <si>
    <t>29.80837 , 76.39844</t>
  </si>
  <si>
    <t>30.44704 , 76.98734</t>
  </si>
  <si>
    <t>28.20585 , 76.82717</t>
  </si>
  <si>
    <t>29.3634 , 75.87758</t>
  </si>
  <si>
    <t>29.38909 , 76.97582</t>
  </si>
  <si>
    <t>30.29279 , 77.2224</t>
  </si>
  <si>
    <t>30.26829 , 76.77664</t>
  </si>
  <si>
    <t>30.12644 , 77.29438</t>
  </si>
  <si>
    <t>27.86694 , 77.24285</t>
  </si>
  <si>
    <t>29.38681 , 76.95277</t>
  </si>
  <si>
    <t>30.13077 , 74.99055</t>
  </si>
  <si>
    <t>29.3797 , 76.96783</t>
  </si>
  <si>
    <t>29.2551 , 76.99886</t>
  </si>
  <si>
    <t>30.33728 , 76.86793</t>
  </si>
  <si>
    <t>29.39652 , 76.97131</t>
  </si>
  <si>
    <t>29.3971 , 76.96648</t>
  </si>
  <si>
    <t>29.68781 , 76.99169</t>
  </si>
  <si>
    <t>28.37457 , 77.38483</t>
  </si>
  <si>
    <t>30.1652 , 75.46</t>
  </si>
  <si>
    <t>28.32432 , 77.35084</t>
  </si>
  <si>
    <t>30.05066 , 76.33043</t>
  </si>
  <si>
    <t>29.41058 , 76.97582</t>
  </si>
  <si>
    <t>28.40893 , 77.37333</t>
  </si>
  <si>
    <t>28.41117 , 77.32082</t>
  </si>
  <si>
    <t>30.71345 , 76.85734</t>
  </si>
  <si>
    <t>12.99864 , 80.22445</t>
  </si>
  <si>
    <t>29.53065 , 75.0468</t>
  </si>
  <si>
    <t>30.35628 , 76.85734</t>
  </si>
  <si>
    <t>28.31885 , 77.27499</t>
  </si>
  <si>
    <t>28.33599 , 77.31707</t>
  </si>
  <si>
    <t>28.40986 , 77.35542</t>
  </si>
  <si>
    <t>30.16015 , 77.29373</t>
  </si>
  <si>
    <t>29.4119 , 76.97582</t>
  </si>
  <si>
    <t>29.36668 , 76.97531</t>
  </si>
  <si>
    <t>29.04954 , 75.57425</t>
  </si>
  <si>
    <t>28.18758 , 76.62971</t>
  </si>
  <si>
    <t>28.80025 , 76.14133</t>
  </si>
  <si>
    <t>30.00371 , 77.01655</t>
  </si>
  <si>
    <t>30.04245 , 77.1406</t>
  </si>
  <si>
    <t>30.36814 , 76.76827</t>
  </si>
  <si>
    <t>29.39095 , 76.9635</t>
  </si>
  <si>
    <t>30.28678 , 77.49726</t>
  </si>
  <si>
    <t>28.36782 , 77.33645</t>
  </si>
  <si>
    <t>30.01247 , 76.8375</t>
  </si>
  <si>
    <t>30.30148 , 77.30244</t>
  </si>
  <si>
    <t>28.43279 , 77.02118</t>
  </si>
  <si>
    <t>28.33449 , 77.3292</t>
  </si>
  <si>
    <t>29.52724 , 76.61814</t>
  </si>
  <si>
    <t>28.03182 , 76.1088</t>
  </si>
  <si>
    <t>29.57496 , 74.89449</t>
  </si>
  <si>
    <t>30.14267 , 77.2861</t>
  </si>
  <si>
    <t>28.61177 , 76.64319</t>
  </si>
  <si>
    <t>19.75148 , 75.71389</t>
  </si>
  <si>
    <t>28.33449 , 77.33248</t>
  </si>
  <si>
    <t>30.70508 , 76.76202</t>
  </si>
  <si>
    <t>30.43926 , 75.53932</t>
  </si>
  <si>
    <t>29.68781 , 76.99497</t>
  </si>
  <si>
    <t>29.83591 , 76.73566</t>
  </si>
  <si>
    <t>28.4228 , 77.3206</t>
  </si>
  <si>
    <t>29.39617 , 76.9622</t>
  </si>
  <si>
    <t>29.41072 , 77.07947</t>
  </si>
  <si>
    <t>29.42888 , 76.80289</t>
  </si>
  <si>
    <t>30.16944 , 77.28908</t>
  </si>
  <si>
    <t>29.69108 , 77.02118</t>
  </si>
  <si>
    <t>29.6778 , 76.24138</t>
  </si>
  <si>
    <t>29.6826 , 75.571</t>
  </si>
  <si>
    <t>28.29194 , 77.35541</t>
  </si>
  <si>
    <t>28.46349 , 77.26472</t>
  </si>
  <si>
    <t>28.36914 , 77.32094</t>
  </si>
  <si>
    <t>28.61302 , 77.2309</t>
  </si>
  <si>
    <t>30.17007 , 77.29087</t>
  </si>
  <si>
    <t>29.45124 , 76.9859</t>
  </si>
  <si>
    <t>30.14914 , 77.29797</t>
  </si>
  <si>
    <t>30.15485 , 77.30833</t>
  </si>
  <si>
    <t>29.20828 , 76.98861</t>
  </si>
  <si>
    <t>28.89212 , 76.60746</t>
  </si>
  <si>
    <t>29.14919 , 75.72165</t>
  </si>
  <si>
    <t>30.69706 , 76.85734</t>
  </si>
  <si>
    <t>28.46228 , 77.06706</t>
  </si>
  <si>
    <t>29.29232 , 75.16609</t>
  </si>
  <si>
    <t>29.5364 , 75.22999</t>
  </si>
  <si>
    <t>29.67798 , 76.88356</t>
  </si>
  <si>
    <t>29.53971 , 75.01513</t>
  </si>
  <si>
    <t>28.38984 , 77.3432</t>
  </si>
  <si>
    <t>30.15119 , 77.29208</t>
  </si>
  <si>
    <t>28.39261 , 77.29825</t>
  </si>
  <si>
    <t>30.15548 , 77.29419</t>
  </si>
  <si>
    <t>28.39565 , 77.28994</t>
  </si>
  <si>
    <t>28.27544 , 76.42201</t>
  </si>
  <si>
    <t>28.86728 , 75.57425</t>
  </si>
  <si>
    <t>28.64579 , 77.23745</t>
  </si>
  <si>
    <t>30.15195 , 77.30782</t>
  </si>
  <si>
    <t>28.40893 , 77.37332</t>
  </si>
  <si>
    <t>30.12643 , 77.29797</t>
  </si>
  <si>
    <t>28.28579 , 77.41281</t>
  </si>
  <si>
    <t>30.1375 , 77.27797</t>
  </si>
  <si>
    <t>28.39347 , 77.43078</t>
  </si>
  <si>
    <t>28.8946 , 76.60227</t>
  </si>
  <si>
    <t>29.61702 , 76.97582</t>
  </si>
  <si>
    <t>29.95705 , 74.69795</t>
  </si>
  <si>
    <t>28.45901 , 77.0474</t>
  </si>
  <si>
    <t>28.47841 , 77.02261</t>
  </si>
  <si>
    <t>28.89551 , 76.59866</t>
  </si>
  <si>
    <t>30.7093 , 76.8522</t>
  </si>
  <si>
    <t>28.4859 , 77.2999</t>
  </si>
  <si>
    <t>28.39736 , 77.29467</t>
  </si>
  <si>
    <t>28.26219 , 76.57194</t>
  </si>
  <si>
    <t>29.32607 , 74.98623</t>
  </si>
  <si>
    <t>28.28612 , 77.07488</t>
  </si>
  <si>
    <t>30.33267 , 76.81442</t>
  </si>
  <si>
    <t>28.38561 , 77.252</t>
  </si>
  <si>
    <t>28.36161 , 77.28145</t>
  </si>
  <si>
    <t>30.14 , 77.29013</t>
  </si>
  <si>
    <t>30.17415 , 77.29019</t>
  </si>
  <si>
    <t>29.80345 , 76.40566</t>
  </si>
  <si>
    <t>29.57631 , 76.48258</t>
  </si>
  <si>
    <t>29.96037 , 74.70663</t>
  </si>
  <si>
    <t>28.89511 , 76.59143</t>
  </si>
  <si>
    <t>29.5338 , 75.03872</t>
  </si>
  <si>
    <t>30.14962 , 77.30608</t>
  </si>
  <si>
    <t>29.40928 , 76.97531</t>
  </si>
  <si>
    <t>28.45992 , 77.06579</t>
  </si>
  <si>
    <t>29.81078 , 76.42159</t>
  </si>
  <si>
    <t>29.59721 , 74.991</t>
  </si>
  <si>
    <t>29.54955 , 75.06045</t>
  </si>
  <si>
    <t>30.26004 , 77.04492</t>
  </si>
  <si>
    <t>28.55076 , 77.19813</t>
  </si>
  <si>
    <t>29.8185 , 76.40817</t>
  </si>
  <si>
    <t>29.78939 , 76.41498</t>
  </si>
  <si>
    <t>28.89653 , 76.59967</t>
  </si>
  <si>
    <t>28.89501 , 76.60371</t>
  </si>
  <si>
    <t>28.91336 , 76.62399</t>
  </si>
  <si>
    <t>29.4486 , 76.96548</t>
  </si>
  <si>
    <t>30.13727 , 77.29704</t>
  </si>
  <si>
    <t>28.415 , 77.36743</t>
  </si>
  <si>
    <t>29.32728 , 77.08526</t>
  </si>
  <si>
    <t>29.8035 , 76.41603</t>
  </si>
  <si>
    <t>29.80577 , 76.40515</t>
  </si>
  <si>
    <t>28.13788 , 76.52639</t>
  </si>
  <si>
    <t>28.75788 , 77.19976</t>
  </si>
  <si>
    <t>29.65635 , 75.42976</t>
  </si>
  <si>
    <t>29.14643 , 75.74877</t>
  </si>
  <si>
    <t>29.53755 , 75.03721</t>
  </si>
  <si>
    <t>29.69884 , 77.02859</t>
  </si>
  <si>
    <t>28.61341 , 77.32972</t>
  </si>
  <si>
    <t>28.34568 , 76.76141</t>
  </si>
  <si>
    <t>28.19402 , 77.15764</t>
  </si>
  <si>
    <t>30.14256 , 77.2857</t>
  </si>
  <si>
    <t>29.79336 , 76.42139</t>
  </si>
  <si>
    <t>28.43607 , 77.29644</t>
  </si>
  <si>
    <t>29.49746 , 75.36357</t>
  </si>
  <si>
    <t>27.86685 , 77.22146</t>
  </si>
  <si>
    <t>30.14916 , 77.29725</t>
  </si>
  <si>
    <t>30.13345 , 77.28333</t>
  </si>
  <si>
    <t>28.42952 , 77.02446</t>
  </si>
  <si>
    <t>28.6294 , 77.28988</t>
  </si>
  <si>
    <t>30.17277 , 77.29971</t>
  </si>
  <si>
    <t>28.19068 , 76.62176</t>
  </si>
  <si>
    <t>28.22314 , 76.79495</t>
  </si>
  <si>
    <t>27.79993 , 76.95181</t>
  </si>
  <si>
    <t>30.14656 , 77.29316</t>
  </si>
  <si>
    <t>28.42952 , 77.02118</t>
  </si>
  <si>
    <t xml:space="preserve"> Haryana</t>
  </si>
  <si>
    <t>12.99885 , 80.22306</t>
  </si>
  <si>
    <t>29.52464 , 75.04869</t>
  </si>
  <si>
    <t>28.89477 , 76.62971</t>
  </si>
  <si>
    <t>29.95411 , 74.69968</t>
  </si>
  <si>
    <t>29.79304 , 76.42175</t>
  </si>
  <si>
    <t>29.53927 , 75.03158</t>
  </si>
  <si>
    <t>28.49637 , 77.05932</t>
  </si>
  <si>
    <t>27.9278 , 77.40258</t>
  </si>
  <si>
    <t>29.84901 , 76.66197</t>
  </si>
  <si>
    <t>30.15321 , 77.27499</t>
  </si>
  <si>
    <t>29.42566 , 76.98514</t>
  </si>
  <si>
    <t>20.59368 , 78.96288</t>
  </si>
  <si>
    <t>29.53723 , 75.0269</t>
  </si>
  <si>
    <t>30.14757 , 77.30394</t>
  </si>
  <si>
    <t xml:space="preserve">Aarvy Healthcare, Sector 90 </t>
  </si>
  <si>
    <t>28.40287 , 76.95277</t>
  </si>
  <si>
    <t>28.60974 , 77.30627</t>
  </si>
  <si>
    <t>30.022 , 77.16001</t>
  </si>
  <si>
    <t>29.54292 , 75.03409</t>
  </si>
  <si>
    <t>28.42352 , 77.06165</t>
  </si>
  <si>
    <t>27.78882 , 76.94777</t>
  </si>
  <si>
    <t>29.53448 , 75.03376</t>
  </si>
  <si>
    <t>29.92715 , 76.34057</t>
  </si>
  <si>
    <t>29.1413 , 75.73265</t>
  </si>
  <si>
    <t>29.80344 , 76.40551</t>
  </si>
  <si>
    <t>30.13531 , 77.28181</t>
  </si>
  <si>
    <t>30.22229 , 77.0622</t>
  </si>
  <si>
    <t>DR MANOJ ORTHOPAEDIC AND MATERNITY HOSPITAL, JIND</t>
  </si>
  <si>
    <t>29.31297 , 76.33838</t>
  </si>
  <si>
    <t>29.04418 , 77.06844</t>
  </si>
  <si>
    <t>29.80337 , 76.40555</t>
  </si>
  <si>
    <t>28.65646 , 76.84903</t>
  </si>
  <si>
    <t>28.33777 , 77.3292</t>
  </si>
  <si>
    <t>28.61957 , 77.17519</t>
  </si>
  <si>
    <t>29.7599 , 76.56243</t>
  </si>
  <si>
    <t>29.7296 , 76.4423</t>
  </si>
  <si>
    <t>29.56329 , 75.02889</t>
  </si>
  <si>
    <t>28.96691 , 77.02446</t>
  </si>
  <si>
    <t>29.65155 , 76.8691</t>
  </si>
  <si>
    <t>Met Hospital, Rampura</t>
  </si>
  <si>
    <t>28.4459 , 77.00808</t>
  </si>
  <si>
    <t>28.60302 , 76.64631</t>
  </si>
  <si>
    <t>29.42572 , 74.92699</t>
  </si>
  <si>
    <t>30.14789 , 77.30548</t>
  </si>
  <si>
    <t>Sector 51, Gurugram Haryana</t>
  </si>
  <si>
    <t>28.43695 , 77.06795</t>
  </si>
  <si>
    <t>30.26458 , 77.0478</t>
  </si>
  <si>
    <t>29.8032 , 76.40555</t>
  </si>
  <si>
    <t>28.89673 , 76.60944</t>
  </si>
  <si>
    <t>25.59088 , 83.52834</t>
  </si>
  <si>
    <t>29.53143 , 75.03519</t>
  </si>
  <si>
    <t>29.68569 , 76.97582</t>
  </si>
  <si>
    <t>29.53745 , 75.03163</t>
  </si>
  <si>
    <t>28.41641 , 76.9622</t>
  </si>
  <si>
    <t>29.37389 , 77.01488</t>
  </si>
  <si>
    <t>29.37651 , 76.9622</t>
  </si>
  <si>
    <t>12.99295 , 80.23027</t>
  </si>
  <si>
    <t>29.53052 , 76.62141</t>
  </si>
  <si>
    <t>29.70748 , 77.00315</t>
  </si>
  <si>
    <t>29.37324 , 76.96548</t>
  </si>
  <si>
    <t>29.68762 , 76.99886</t>
  </si>
  <si>
    <t>29.14386 , 75.72357</t>
  </si>
  <si>
    <t>12.99791 , 80.24118</t>
  </si>
  <si>
    <t>29.68781 , 75.11736</t>
  </si>
  <si>
    <t>28.75039 , 76.75456</t>
  </si>
  <si>
    <t>29.6963 , 76.98369</t>
  </si>
  <si>
    <t>28.44571 , 76.469</t>
  </si>
  <si>
    <t>28.97019 , 77.05723</t>
  </si>
  <si>
    <t>25.46408 , 81.81697</t>
  </si>
  <si>
    <t>30.45169 , 77.03342</t>
  </si>
  <si>
    <t>29.53654 , 75.02363</t>
  </si>
  <si>
    <t>30.37428 , 77.09602</t>
  </si>
  <si>
    <t>29.26838 , 76.84424</t>
  </si>
  <si>
    <t>28.80384 , 76.14253</t>
  </si>
  <si>
    <t>29.69369 , 77.0139</t>
  </si>
  <si>
    <t>29.96507 , 74.70042</t>
  </si>
  <si>
    <t>30.69379 , 76.75904</t>
  </si>
  <si>
    <t>30.16294 , 77.31282</t>
  </si>
  <si>
    <t>28.34592 , 76.7614</t>
  </si>
  <si>
    <t>29.54955 , 75.03973</t>
  </si>
  <si>
    <t>SADH Care Hospital, Ashram Hari Mandir, Pataudi</t>
  </si>
  <si>
    <t>28.32001 , 76.78886</t>
  </si>
  <si>
    <t>Astha Hospital, Bilaspur</t>
  </si>
  <si>
    <t>28.28875 , 76.85896</t>
  </si>
  <si>
    <t>30.3782 , 76.78776</t>
  </si>
  <si>
    <t>28.18543 , 76.63404</t>
  </si>
  <si>
    <t>28.39822 , 76.59203</t>
  </si>
  <si>
    <t>12.99326 , 80.23031</t>
  </si>
  <si>
    <t>29.90013 , 76.78407</t>
  </si>
  <si>
    <t>29.69718 , 77.01248</t>
  </si>
  <si>
    <t>29.87786 , 77.06706</t>
  </si>
  <si>
    <t>30.34253 , 76.84711</t>
  </si>
  <si>
    <t>28.68627 , 77.22178</t>
  </si>
  <si>
    <t>30.30838 , 77.01635</t>
  </si>
  <si>
    <t>29.5401 , 75.04285</t>
  </si>
  <si>
    <t>29.53655 , 75.02255</t>
  </si>
  <si>
    <t>28.89567 , 76.60906</t>
  </si>
  <si>
    <t>29.97617 , 76.8639</t>
  </si>
  <si>
    <t>29.27926 , 76.84838</t>
  </si>
  <si>
    <t>29.6825 , 76.99652</t>
  </si>
  <si>
    <t>BOMBAY HOSPITAL, Chautala Road Mandi Dabwali</t>
  </si>
  <si>
    <t>29.95867 , 74.69858</t>
  </si>
  <si>
    <t>30.33444 , 76.8754</t>
  </si>
  <si>
    <t>Parkash Hospital, Manesar</t>
  </si>
  <si>
    <t>28.35617 , 76.93772</t>
  </si>
  <si>
    <t>29.54445 , 75.02917</t>
  </si>
  <si>
    <t>29.80604 , 76.39625</t>
  </si>
  <si>
    <t>29.36286 , 75.94632</t>
  </si>
  <si>
    <t>29.54383 , 75.02901</t>
  </si>
  <si>
    <t>28.76375 , 76.31995</t>
  </si>
  <si>
    <t>27.57059 , 80.09819</t>
  </si>
  <si>
    <t>30.47483 , 77.11614</t>
  </si>
  <si>
    <t>29.58887 , 74.62832</t>
  </si>
  <si>
    <t>29.54079 , 75.03077</t>
  </si>
  <si>
    <t>30.41403 , 76.66437</t>
  </si>
  <si>
    <t>29.36013 , 75.88086</t>
  </si>
  <si>
    <t>29.6942 , 76.98909</t>
  </si>
  <si>
    <t>30.15672 , 76.87857</t>
  </si>
  <si>
    <t>28.45133 , 77.03288</t>
  </si>
  <si>
    <t>29.5426 , 75.02998</t>
  </si>
  <si>
    <t>28.34591 , 76.7614</t>
  </si>
  <si>
    <t>29.3739 , 75.1195</t>
  </si>
  <si>
    <t>28.39214 , 77.31735</t>
  </si>
  <si>
    <t>28.09856 , 76.60503</t>
  </si>
  <si>
    <t>28.74409 , 76.87373</t>
  </si>
  <si>
    <t>29.80146 , 76.41571</t>
  </si>
  <si>
    <t>28.76375 , 76.62672</t>
  </si>
  <si>
    <t>28.79893 , 76.14342</t>
  </si>
  <si>
    <t>30.19457 , 77.29798</t>
  </si>
  <si>
    <t>28.17577 , 76.6989</t>
  </si>
  <si>
    <t>29.31197 , 76.32845</t>
  </si>
  <si>
    <t>18.5289 , 73.8743</t>
  </si>
  <si>
    <t>28.6294 , 77.08017</t>
  </si>
  <si>
    <t>28.21168 , 76.52569</t>
  </si>
  <si>
    <t>28.77656 , 75.5292</t>
  </si>
  <si>
    <t>28.34542 , 76.76086</t>
  </si>
  <si>
    <t>29.53379 , 75.03782</t>
  </si>
  <si>
    <t>28.45101 , 77.08748</t>
  </si>
  <si>
    <t>29.38711 , 75.34182</t>
  </si>
  <si>
    <t>28.15529 , 77.32166</t>
  </si>
  <si>
    <t>29.75822 , 76.83316</t>
  </si>
  <si>
    <t>29.3841 , 76.7017</t>
  </si>
  <si>
    <t>30.57498 , 77.02189</t>
  </si>
  <si>
    <t>29.53476 , 76.97365</t>
  </si>
  <si>
    <t>12.99292 , 80.23025</t>
  </si>
  <si>
    <t>29.45843 , 76.97531</t>
  </si>
  <si>
    <t>30.09308 , 76.75961</t>
  </si>
  <si>
    <t>28.451 , 76.97582</t>
  </si>
  <si>
    <t>29.2093 , 77.02727</t>
  </si>
  <si>
    <t>29.42239 , 76.96876</t>
  </si>
  <si>
    <t>29.55507 , 75.03121</t>
  </si>
  <si>
    <t>29.17274 , 76.01374</t>
  </si>
  <si>
    <t>28.18637 , 76.61021</t>
  </si>
  <si>
    <t>28.80054 , 76.14122</t>
  </si>
  <si>
    <t>30.32993 , 76.83749</t>
  </si>
  <si>
    <t>29.44532 , 75.60561</t>
  </si>
  <si>
    <t>28.607 , 76.4906</t>
  </si>
  <si>
    <t>30.39315 , 76.79134</t>
  </si>
  <si>
    <t>28.79568 , 76.15722</t>
  </si>
  <si>
    <t>30.24159 , 77.04084</t>
  </si>
  <si>
    <t>28.80237 , 76.14358</t>
  </si>
  <si>
    <t>26.37886 , 79.40286</t>
  </si>
  <si>
    <t>28.80011 , 76.14278</t>
  </si>
  <si>
    <t>29.13581 , 75.71701</t>
  </si>
  <si>
    <t>28.07235 , 76.39859</t>
  </si>
  <si>
    <t>28.70129 , 76.05078</t>
  </si>
  <si>
    <t>28.79552 , 76.15806</t>
  </si>
  <si>
    <t>28.80905 , 76.1527</t>
  </si>
  <si>
    <t>28.80027 , 76.14133</t>
  </si>
  <si>
    <t>30.37369 , 77.09641</t>
  </si>
  <si>
    <t>28.7998 , 76.14628</t>
  </si>
  <si>
    <t>30.37428 , 77.09605</t>
  </si>
  <si>
    <t>28.35323 , 76.76557</t>
  </si>
  <si>
    <t>29.53636 , 75.02412</t>
  </si>
  <si>
    <t>28.79681 , 76.14586</t>
  </si>
  <si>
    <t>28.7998 , 76.22492</t>
  </si>
  <si>
    <t>12.99222 , 80.23018</t>
  </si>
  <si>
    <t>30.353 , 74.96008</t>
  </si>
  <si>
    <t>29.64356 , 75.14543</t>
  </si>
  <si>
    <t>28.87036 , 75.91748</t>
  </si>
  <si>
    <t>28.4595 , 77.02664</t>
  </si>
  <si>
    <t>28.80963 , 75.6908</t>
  </si>
  <si>
    <t>30.37123 , 76.7887</t>
  </si>
  <si>
    <t>30.19899 , 74.92076</t>
  </si>
  <si>
    <t>30.33212 , 76.94768</t>
  </si>
  <si>
    <t>30.70518 , 76.85577</t>
  </si>
  <si>
    <t>28.4459 , 77.06051</t>
  </si>
  <si>
    <t>30.80795 , 76.92397</t>
  </si>
  <si>
    <t>30.40687 , 76.84924</t>
  </si>
  <si>
    <t>30.37198 , 76.78537</t>
  </si>
  <si>
    <t>29.28868 , 76.88361</t>
  </si>
  <si>
    <t>28.5737 , 77.22762</t>
  </si>
  <si>
    <t>29.28447 , 75.49563</t>
  </si>
  <si>
    <t>28.79042 , 76.13488</t>
  </si>
  <si>
    <t>12.99327 , 80.23032</t>
  </si>
  <si>
    <t>28.79525 , 76.15363</t>
  </si>
  <si>
    <t>30.37428 , 77.09604</t>
  </si>
  <si>
    <t>29.5373 , 75.0327</t>
  </si>
  <si>
    <t>28.79819 , 76.12039</t>
  </si>
  <si>
    <t>28.79871 , 76.1438</t>
  </si>
  <si>
    <t>29.80499 , 76.40545</t>
  </si>
  <si>
    <t>29.76741 , 74.89748</t>
  </si>
  <si>
    <t>29.39074 , 76.95528</t>
  </si>
  <si>
    <t>28.47402 , 77.02189</t>
  </si>
  <si>
    <t>30.65002 , 77.08529</t>
  </si>
  <si>
    <t>30.39078 , 76.76827</t>
  </si>
  <si>
    <t>30.28108 , 76.69543</t>
  </si>
  <si>
    <t>28.79771 , 76.05157</t>
  </si>
  <si>
    <t>29.53911 , 75.03165</t>
  </si>
  <si>
    <t>30.73311 , 76.80492</t>
  </si>
  <si>
    <t>28.79226 , 76.13039</t>
  </si>
  <si>
    <t>30.37179 , 76.848</t>
  </si>
  <si>
    <t>APNA HOSPITAL Orthopaedic &amp; Trauma Center, Red Road Kurukshetra</t>
  </si>
  <si>
    <t>29.38634 , 76.95565</t>
  </si>
  <si>
    <t>28.67528 , 76.9196</t>
  </si>
  <si>
    <t>28.56387 , 77.16864</t>
  </si>
  <si>
    <t>29.09333 , 75.95596</t>
  </si>
  <si>
    <t>29.33727 , 75.62104</t>
  </si>
  <si>
    <t>28.43279 , 77.01791</t>
  </si>
  <si>
    <t>28.78592 , 76.14722</t>
  </si>
  <si>
    <t>28.47215 , 77.3195</t>
  </si>
  <si>
    <t>28.25124 , 76.90921</t>
  </si>
  <si>
    <t>29.38962 , 76.97859</t>
  </si>
  <si>
    <t>28.65889 , 77.16209</t>
  </si>
  <si>
    <t>29.30662 , 76.33622</t>
  </si>
  <si>
    <t>28.50161 , 77.23745</t>
  </si>
  <si>
    <t>28.4936 , 76.5716</t>
  </si>
  <si>
    <t>29.33752 , 76.09388</t>
  </si>
  <si>
    <t>28.59008 , 77.2309</t>
  </si>
  <si>
    <t>28.18817 , 76.62971</t>
  </si>
  <si>
    <t>BHARAT MULTISPECIALITY HOSPITAL, Hisar</t>
  </si>
  <si>
    <t>29.12653 , 75.74731</t>
  </si>
  <si>
    <t>28.9416 , 76.03437</t>
  </si>
  <si>
    <t>27.87966 , 77.38322</t>
  </si>
  <si>
    <t>28.61629 , 77.28988</t>
  </si>
  <si>
    <t>29.35357 , 75.8743</t>
  </si>
  <si>
    <t>27.79048 , 77.33047</t>
  </si>
  <si>
    <t>29.5058 , 78.08801</t>
  </si>
  <si>
    <t>28.88011 , 76.23841</t>
  </si>
  <si>
    <t>29.07826 , 75.48747</t>
  </si>
  <si>
    <t>12.99742 , 80.22585</t>
  </si>
  <si>
    <t>29.45057 , 75.45243</t>
  </si>
  <si>
    <t>28.9668 , 75.95354</t>
  </si>
  <si>
    <t>28.69535 , 76.94485</t>
  </si>
  <si>
    <t>29.11015 , 75.81853</t>
  </si>
  <si>
    <t>30.15096 , 76.86127</t>
  </si>
  <si>
    <t>29.05878 , 76.0856</t>
  </si>
  <si>
    <t>28.46556 , 77.06378</t>
  </si>
  <si>
    <t>29.53838 , 75.70767</t>
  </si>
  <si>
    <t>28.6434 , 75.8375</t>
  </si>
  <si>
    <t>29.51724 , 75.4489</t>
  </si>
  <si>
    <t>28.19879 , 76.60923</t>
  </si>
  <si>
    <t>29.61838 , 75.93669</t>
  </si>
  <si>
    <t>28.64251 , 77.08672</t>
  </si>
  <si>
    <t>28.17424 , 76.63227</t>
  </si>
  <si>
    <t>28.4459 , 75.77928</t>
  </si>
  <si>
    <t>28.17975 , 76.62463</t>
  </si>
  <si>
    <t>29.08488 , 76.0873</t>
  </si>
  <si>
    <t>28.57045 , 75.73512</t>
  </si>
  <si>
    <t>28.62716 , 75.62229</t>
  </si>
  <si>
    <t>28.40605 , 76.48211</t>
  </si>
  <si>
    <t>28.50172 , 75.78366</t>
  </si>
  <si>
    <t>29.50739 , 75.44446</t>
  </si>
  <si>
    <t>28.19082 , 76.62754</t>
  </si>
  <si>
    <t>12.99221 , 80.23009</t>
  </si>
  <si>
    <t>29.21934 , 75.79513</t>
  </si>
  <si>
    <t>29.56163 , 75.37618</t>
  </si>
  <si>
    <t>29.32519 , 76.34022</t>
  </si>
  <si>
    <t>30.39297 , 76.1443</t>
  </si>
  <si>
    <t>29.50431 , 75.46798</t>
  </si>
  <si>
    <t>29.9624 , 76.82451</t>
  </si>
  <si>
    <t>LIFE CARE HOSPITAL, SHAHABAD MARKANDA</t>
  </si>
  <si>
    <t>30.15889 , 76.87612</t>
  </si>
  <si>
    <t>29.12541 , 75.74878</t>
  </si>
  <si>
    <t>29.78611 , 76.42808</t>
  </si>
  <si>
    <t>12.97998 , 80.22445</t>
  </si>
  <si>
    <t>28.94397 , 76.31995</t>
  </si>
  <si>
    <t>30.10706 , 76.65282</t>
  </si>
  <si>
    <t>30.08433 , 76.98735</t>
  </si>
  <si>
    <t>29.66081 , 75.72503</t>
  </si>
  <si>
    <t>29.38896 , 76.98647</t>
  </si>
  <si>
    <t>28.73796 , 76.92972</t>
  </si>
  <si>
    <t>28.91121 , 75.60888</t>
  </si>
  <si>
    <t>Polyclinic Sector - 4, Kurukshetra</t>
  </si>
  <si>
    <t>29.95681 , 76.88162</t>
  </si>
  <si>
    <t>29.9652 , 76.82146</t>
  </si>
  <si>
    <t>29.68423 , 75.57061</t>
  </si>
  <si>
    <t>30.00141 , 76.61817</t>
  </si>
  <si>
    <t>30.8349 , 76.9347</t>
  </si>
  <si>
    <t>28.98002 , 76.30029</t>
  </si>
  <si>
    <t>28.47647 , 76.6517</t>
  </si>
  <si>
    <t>30.04091 , 76.95348</t>
  </si>
  <si>
    <t>28.63596 , 75.92673</t>
  </si>
  <si>
    <t>26.86321 , 75.79238</t>
  </si>
  <si>
    <t>29.55674 , 75.02234</t>
  </si>
  <si>
    <t>29.70623 , 75.85629</t>
  </si>
  <si>
    <t>28.89796 , 76.58355</t>
  </si>
  <si>
    <t>29.49838 , 75.87805</t>
  </si>
  <si>
    <t>29.1134 , 75.6393</t>
  </si>
  <si>
    <t>29.16573 , 75.71986</t>
  </si>
  <si>
    <t>12.98041 , 80.24118</t>
  </si>
  <si>
    <t>28.38129 , 76.95585</t>
  </si>
  <si>
    <t>28.39347 , 77.33248</t>
  </si>
  <si>
    <t>28.62612 , 77.24401</t>
  </si>
  <si>
    <t>29.11882 , 75.6998</t>
  </si>
  <si>
    <t>28.13788 , 77.32265</t>
  </si>
  <si>
    <t>12.99223 , 80.2301</t>
  </si>
  <si>
    <t>30.70689 , 76.74921</t>
  </si>
  <si>
    <t>28.34597 , 76.76138</t>
  </si>
  <si>
    <t>29.1254 , 75.74877</t>
  </si>
  <si>
    <t>29.12291 , 75.7226</t>
  </si>
  <si>
    <t>29.42566 , 74.60291</t>
  </si>
  <si>
    <t>29.1242 , 75.74979</t>
  </si>
  <si>
    <t>28.4666 , 77.0333</t>
  </si>
  <si>
    <t>28.43935 , 76.99497</t>
  </si>
  <si>
    <t>28.34564 , 76.76138</t>
  </si>
  <si>
    <t>28.7967 , 76.14643</t>
  </si>
  <si>
    <t>28.38786 , 77.02189</t>
  </si>
  <si>
    <t>29.13247 , 75.74105</t>
  </si>
  <si>
    <t>28.46556 , 77.00152</t>
  </si>
  <si>
    <t>30.36938 , 76.80164</t>
  </si>
  <si>
    <t>12.99744 , 80.22445</t>
  </si>
  <si>
    <t>29.12541 , 75.74659</t>
  </si>
  <si>
    <t>28.1196 , 77.32094</t>
  </si>
  <si>
    <t>12.99228 , 80.23028</t>
  </si>
  <si>
    <t>12.98187 , 80.23979</t>
  </si>
  <si>
    <t>28.00764 , 77.22254</t>
  </si>
  <si>
    <t>10.04012 , 76.32978</t>
  </si>
  <si>
    <t>28.13614 , 77.32702</t>
  </si>
  <si>
    <t>29.31254 , 76.33037</t>
  </si>
  <si>
    <t>12.99222 , 80.2301</t>
  </si>
  <si>
    <t>12.99236 , 80.23016</t>
  </si>
  <si>
    <t>28.13615 , 77.32704</t>
  </si>
  <si>
    <t>28.4459 , 77.33248</t>
  </si>
  <si>
    <t>29.31258 , 76.33035</t>
  </si>
  <si>
    <t>27.97015 , 77.4931</t>
  </si>
  <si>
    <t>28.04277 , 77.23058</t>
  </si>
  <si>
    <t>12.99243 , 80.2302</t>
  </si>
  <si>
    <t>30.3752 , 76.78212</t>
  </si>
  <si>
    <t>Sub-Divisional Hospital, Hodal</t>
  </si>
  <si>
    <t>27.89212 , 77.36852</t>
  </si>
  <si>
    <t>29.43312 , 76.56739</t>
  </si>
  <si>
    <t>28.13259 , 77.1765</t>
  </si>
  <si>
    <t>29.38442 , 76.51602</t>
  </si>
  <si>
    <t>29.43313 , 76.5674</t>
  </si>
  <si>
    <t>29.59313 , 76.12739</t>
  </si>
  <si>
    <t>28.15565 , 77.31233</t>
  </si>
  <si>
    <t>29.31251 , 76.33036</t>
  </si>
  <si>
    <t>28.35415 , 77.32593</t>
  </si>
  <si>
    <t>29.58667 , 76.11804</t>
  </si>
  <si>
    <t>12.99224 , 80.23013</t>
  </si>
  <si>
    <t>28.1354 , 77.3271</t>
  </si>
  <si>
    <t>28.34092 , 77.31635</t>
  </si>
  <si>
    <t>30.4623 , 77.123</t>
  </si>
  <si>
    <t>28.03306 , 77.34966</t>
  </si>
  <si>
    <t>28.17393 , 77.43734</t>
  </si>
  <si>
    <t>28.07502 , 77.27435</t>
  </si>
  <si>
    <t>29.47735 , 76.18784</t>
  </si>
  <si>
    <t>28.36726 , 77.32593</t>
  </si>
  <si>
    <t>27.91666 , 77.331</t>
  </si>
  <si>
    <t>12.99223 , 80.23012</t>
  </si>
  <si>
    <t>29.45461 , 76.2608</t>
  </si>
  <si>
    <t>29.31256 , 76.33037</t>
  </si>
  <si>
    <t>28.1352 , 77.3264</t>
  </si>
  <si>
    <t>29.31245 , 76.33038</t>
  </si>
  <si>
    <t>29.31255 , 76.3304</t>
  </si>
  <si>
    <t>29.58763 , 76.11233</t>
  </si>
  <si>
    <t>29.59233 , 76.128</t>
  </si>
  <si>
    <t>29.31257 , 76.33036</t>
  </si>
  <si>
    <t>12.99222 , 80.23011</t>
  </si>
  <si>
    <t>29.31244 , 76.3303</t>
  </si>
  <si>
    <t>29.31257 , 76.33037</t>
  </si>
  <si>
    <t>29.31262 , 76.33037</t>
  </si>
  <si>
    <t>29.3124 , 76.33029</t>
  </si>
  <si>
    <t>29.59815 , 76.11894</t>
  </si>
  <si>
    <t>29.31626 , 76.34719</t>
  </si>
  <si>
    <t>30.3951 , 76.7942</t>
  </si>
  <si>
    <t>29.5871 , 76.1173</t>
  </si>
  <si>
    <t>29.31254 , 76.33035</t>
  </si>
  <si>
    <t>29.31242 , 76.3303</t>
  </si>
  <si>
    <t>29.9721 , 76.8976</t>
  </si>
  <si>
    <t>30.34234 , 76.84739</t>
  </si>
  <si>
    <t>29.60285 , 76.12794</t>
  </si>
  <si>
    <t>29.48987 , 76.35371</t>
  </si>
  <si>
    <t>29.34958 , 76.23788</t>
  </si>
  <si>
    <t>29.31246 , 76.33028</t>
  </si>
  <si>
    <t>29.25783 , 76.57384</t>
  </si>
  <si>
    <t>29.6175 , 75.99962</t>
  </si>
  <si>
    <t>GPS</t>
  </si>
  <si>
    <t>avg_primary</t>
  </si>
  <si>
    <t>avg_secondary</t>
  </si>
  <si>
    <t>avg_tertiary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</si>
</sst>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79AF-4E47-4BF8-AEB4-D5AA36CD384C}">
  <dimension ref="A1:Z955"/>
  <sheetViews>
    <sheetView tabSelected="1" workbookViewId="0">
      <selection activeCell="D13" sqref="D13"/>
    </sheetView>
  </sheetViews>
  <sheetFormatPr defaultRowHeight="15" x14ac:dyDescent="0.25"/>
  <cols>
    <col min="1" max="1" width="8.42578125" bestFit="1" customWidth="1"/>
    <col min="2" max="2" width="7.140625" bestFit="1" customWidth="1"/>
    <col min="3" max="3" width="8.42578125" bestFit="1" customWidth="1"/>
    <col min="4" max="4" width="14.28515625" bestFit="1" customWidth="1"/>
    <col min="5" max="5" width="9.85546875" bestFit="1" customWidth="1"/>
    <col min="6" max="6" width="44.28515625" customWidth="1"/>
    <col min="7" max="7" width="22.5703125" customWidth="1"/>
    <col min="8" max="8" width="13.140625" bestFit="1" customWidth="1"/>
    <col min="9" max="9" width="16.28515625" bestFit="1" customWidth="1"/>
    <col min="10" max="10" width="9.7109375" bestFit="1" customWidth="1"/>
    <col min="11" max="11" width="12" bestFit="1" customWidth="1"/>
    <col min="12" max="12" width="9" bestFit="1" customWidth="1"/>
    <col min="13" max="13" width="9.28515625" bestFit="1" customWidth="1"/>
    <col min="14" max="14" width="11.5703125" bestFit="1" customWidth="1"/>
    <col min="15" max="15" width="8.5703125" bestFit="1" customWidth="1"/>
    <col min="16" max="16" width="9.85546875" bestFit="1" customWidth="1"/>
    <col min="17" max="17" width="12.140625" bestFit="1" customWidth="1"/>
    <col min="19" max="19" width="9.7109375" bestFit="1" customWidth="1"/>
    <col min="20" max="20" width="12" bestFit="1" customWidth="1"/>
    <col min="21" max="21" width="9" bestFit="1" customWidth="1"/>
    <col min="22" max="24" width="9" customWidth="1"/>
    <col min="25" max="25" width="9.5703125" bestFit="1" customWidth="1"/>
    <col min="26" max="26" width="11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1435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1436</v>
      </c>
      <c r="W1" t="s">
        <v>1437</v>
      </c>
      <c r="X1" t="s">
        <v>1438</v>
      </c>
      <c r="Y1" t="s">
        <v>20</v>
      </c>
      <c r="Z1" t="s">
        <v>21</v>
      </c>
    </row>
    <row r="2" spans="1:26" x14ac:dyDescent="0.25">
      <c r="A2">
        <v>746</v>
      </c>
      <c r="B2">
        <v>1</v>
      </c>
      <c r="C2" t="s">
        <v>22</v>
      </c>
      <c r="D2" t="s">
        <v>23</v>
      </c>
      <c r="E2" t="s">
        <v>24</v>
      </c>
      <c r="F2" t="s">
        <v>25</v>
      </c>
      <c r="G2" t="str">
        <f>VLOOKUP(F2,Hospitals!E:H,4,FALSE)</f>
        <v>30.28297 , 76.71056</v>
      </c>
      <c r="H2" s="1">
        <v>45428</v>
      </c>
      <c r="I2" s="1">
        <v>45428</v>
      </c>
      <c r="J2">
        <v>45.86</v>
      </c>
      <c r="K2">
        <v>42.603999999999999</v>
      </c>
      <c r="L2">
        <v>40.908999999999999</v>
      </c>
      <c r="M2">
        <v>17.646999999999998</v>
      </c>
      <c r="N2">
        <v>13.042999999999999</v>
      </c>
      <c r="O2">
        <v>13.042999999999999</v>
      </c>
      <c r="P2">
        <v>17.646999999999998</v>
      </c>
      <c r="Q2">
        <v>13.042999999999999</v>
      </c>
      <c r="R2">
        <v>13.042999999999999</v>
      </c>
      <c r="S2">
        <v>10</v>
      </c>
      <c r="T2">
        <v>8.3330000000000002</v>
      </c>
      <c r="U2">
        <v>0</v>
      </c>
      <c r="V2">
        <f>AVERAGE(J2,M2,P2,S2)</f>
        <v>22.788499999999999</v>
      </c>
      <c r="W2">
        <f>AVERAGE(K2,N2,Q2,T2)</f>
        <v>19.255749999999999</v>
      </c>
      <c r="X2">
        <f>AVERAGE(L2,O2,R2,U2)</f>
        <v>16.748750000000001</v>
      </c>
      <c r="Y2">
        <v>13</v>
      </c>
      <c r="Z2" s="2" t="s">
        <v>26</v>
      </c>
    </row>
    <row r="3" spans="1:26" x14ac:dyDescent="0.25">
      <c r="A3">
        <v>748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tr">
        <f>VLOOKUP(F3,Hospitals!E:H,4,FALSE)</f>
        <v>30.28297 , 76.71056</v>
      </c>
      <c r="H3" s="1">
        <v>45428</v>
      </c>
      <c r="I3" s="1">
        <v>45428</v>
      </c>
      <c r="J3">
        <v>45.86</v>
      </c>
      <c r="K3">
        <v>42.603999999999999</v>
      </c>
      <c r="L3">
        <v>40.908999999999999</v>
      </c>
      <c r="M3">
        <v>17.646999999999998</v>
      </c>
      <c r="N3">
        <v>13.042999999999999</v>
      </c>
      <c r="O3">
        <v>13.042999999999999</v>
      </c>
      <c r="P3">
        <v>17.646999999999998</v>
      </c>
      <c r="Q3">
        <v>13.042999999999999</v>
      </c>
      <c r="R3">
        <v>13.042999999999999</v>
      </c>
      <c r="S3">
        <v>10</v>
      </c>
      <c r="T3">
        <v>8.3330000000000002</v>
      </c>
      <c r="U3">
        <v>0</v>
      </c>
      <c r="V3">
        <f t="shared" ref="V3:V66" si="0">AVERAGE(J3,M3,P3,S3)</f>
        <v>22.788499999999999</v>
      </c>
      <c r="W3">
        <f t="shared" ref="W3:W66" si="1">AVERAGE(K3,N3,Q3,T3)</f>
        <v>19.255749999999999</v>
      </c>
      <c r="X3">
        <f t="shared" ref="X3:X66" si="2">AVERAGE(L3,O3,R3,U3)</f>
        <v>16.748750000000001</v>
      </c>
      <c r="Y3">
        <v>13</v>
      </c>
      <c r="Z3" s="2" t="s">
        <v>26</v>
      </c>
    </row>
    <row r="4" spans="1:26" x14ac:dyDescent="0.25">
      <c r="A4">
        <v>905</v>
      </c>
      <c r="B4">
        <v>10</v>
      </c>
      <c r="C4" t="s">
        <v>22</v>
      </c>
      <c r="D4" t="s">
        <v>23</v>
      </c>
      <c r="E4" t="s">
        <v>27</v>
      </c>
      <c r="F4" t="s">
        <v>28</v>
      </c>
      <c r="G4" t="str">
        <f>VLOOKUP(F4,Hospitals!E:H,4,FALSE)</f>
        <v>30.37369 , 77.09641</v>
      </c>
      <c r="H4" s="1">
        <v>45490</v>
      </c>
      <c r="I4" s="1">
        <v>45490</v>
      </c>
      <c r="J4">
        <v>47.134</v>
      </c>
      <c r="K4">
        <v>43.786999999999999</v>
      </c>
      <c r="L4">
        <v>42.045000000000002</v>
      </c>
      <c r="M4">
        <v>52.941000000000003</v>
      </c>
      <c r="N4">
        <v>39.130000000000003</v>
      </c>
      <c r="O4">
        <v>39.130000000000003</v>
      </c>
      <c r="P4">
        <v>52.941000000000003</v>
      </c>
      <c r="Q4">
        <v>39.130000000000003</v>
      </c>
      <c r="R4">
        <v>39.130000000000003</v>
      </c>
      <c r="S4">
        <v>0</v>
      </c>
      <c r="T4">
        <v>0</v>
      </c>
      <c r="U4">
        <v>0</v>
      </c>
      <c r="V4">
        <f t="shared" si="0"/>
        <v>38.254000000000005</v>
      </c>
      <c r="W4">
        <f t="shared" si="1"/>
        <v>30.511749999999999</v>
      </c>
      <c r="X4">
        <f t="shared" si="2"/>
        <v>30.076250000000002</v>
      </c>
      <c r="Y4">
        <v>13</v>
      </c>
      <c r="Z4" s="2" t="s">
        <v>26</v>
      </c>
    </row>
    <row r="5" spans="1:26" x14ac:dyDescent="0.25">
      <c r="A5">
        <v>484</v>
      </c>
      <c r="B5">
        <v>100</v>
      </c>
      <c r="C5" t="s">
        <v>22</v>
      </c>
      <c r="D5" t="s">
        <v>29</v>
      </c>
      <c r="E5" t="s">
        <v>30</v>
      </c>
      <c r="F5" t="s">
        <v>1061</v>
      </c>
      <c r="G5" t="str">
        <f>VLOOKUP(F5,Hospitals!E:H,4,FALSE)</f>
        <v>28.40287 , 76.95277</v>
      </c>
      <c r="H5" s="1">
        <v>45386</v>
      </c>
      <c r="I5" s="1">
        <v>45386</v>
      </c>
      <c r="J5">
        <v>89.171999999999997</v>
      </c>
      <c r="K5">
        <v>88.757000000000005</v>
      </c>
      <c r="L5">
        <v>88.067999999999998</v>
      </c>
      <c r="M5">
        <v>88.234999999999999</v>
      </c>
      <c r="N5">
        <v>86.956999999999994</v>
      </c>
      <c r="O5">
        <v>86.956999999999994</v>
      </c>
      <c r="P5">
        <v>88.234999999999999</v>
      </c>
      <c r="Q5">
        <v>86.956999999999994</v>
      </c>
      <c r="R5">
        <v>86.956999999999994</v>
      </c>
      <c r="S5">
        <v>80</v>
      </c>
      <c r="T5">
        <v>75</v>
      </c>
      <c r="U5">
        <v>57.143000000000001</v>
      </c>
      <c r="V5">
        <f t="shared" si="0"/>
        <v>86.410499999999999</v>
      </c>
      <c r="W5">
        <f t="shared" si="1"/>
        <v>84.417749999999998</v>
      </c>
      <c r="X5">
        <f t="shared" si="2"/>
        <v>79.78125</v>
      </c>
      <c r="Y5">
        <v>13</v>
      </c>
      <c r="Z5" s="2" t="s">
        <v>31</v>
      </c>
    </row>
    <row r="6" spans="1:26" x14ac:dyDescent="0.25">
      <c r="A6">
        <v>1118</v>
      </c>
      <c r="B6">
        <v>1000</v>
      </c>
      <c r="C6" t="s">
        <v>22</v>
      </c>
      <c r="D6" t="s">
        <v>32</v>
      </c>
      <c r="E6" t="s">
        <v>30</v>
      </c>
      <c r="F6" t="s">
        <v>33</v>
      </c>
      <c r="G6" t="str">
        <f>VLOOKUP(F6,Hospitals!E:H,4,FALSE)</f>
        <v>29.70815 , 75.90863</v>
      </c>
      <c r="H6" s="1">
        <v>45646</v>
      </c>
      <c r="I6" s="1">
        <v>45646</v>
      </c>
      <c r="J6">
        <v>57.325000000000003</v>
      </c>
      <c r="K6">
        <v>53.253999999999998</v>
      </c>
      <c r="L6">
        <v>51.136000000000003</v>
      </c>
      <c r="M6">
        <v>47.058999999999997</v>
      </c>
      <c r="N6">
        <v>39.130000000000003</v>
      </c>
      <c r="O6">
        <v>39.130000000000003</v>
      </c>
      <c r="P6">
        <v>47.058999999999997</v>
      </c>
      <c r="Q6">
        <v>39.130000000000003</v>
      </c>
      <c r="R6">
        <v>39.130000000000003</v>
      </c>
      <c r="S6">
        <v>0</v>
      </c>
      <c r="T6">
        <v>0</v>
      </c>
      <c r="U6">
        <v>0</v>
      </c>
      <c r="V6">
        <f t="shared" si="0"/>
        <v>37.860749999999996</v>
      </c>
      <c r="W6">
        <f t="shared" si="1"/>
        <v>32.878500000000003</v>
      </c>
      <c r="X6">
        <f t="shared" si="2"/>
        <v>32.349000000000004</v>
      </c>
      <c r="Y6">
        <v>13</v>
      </c>
      <c r="Z6" s="2" t="s">
        <v>34</v>
      </c>
    </row>
    <row r="7" spans="1:26" x14ac:dyDescent="0.25">
      <c r="A7">
        <v>1119</v>
      </c>
      <c r="B7">
        <v>1000</v>
      </c>
      <c r="C7" t="s">
        <v>22</v>
      </c>
      <c r="D7" t="s">
        <v>32</v>
      </c>
      <c r="E7" t="s">
        <v>30</v>
      </c>
      <c r="F7" t="s">
        <v>33</v>
      </c>
      <c r="G7" t="str">
        <f>VLOOKUP(F7,Hospitals!E:H,4,FALSE)</f>
        <v>29.70815 , 75.90863</v>
      </c>
      <c r="H7" s="1">
        <v>45646</v>
      </c>
      <c r="I7" t="s">
        <v>35</v>
      </c>
      <c r="J7">
        <v>57.325000000000003</v>
      </c>
      <c r="K7">
        <v>53.253999999999998</v>
      </c>
      <c r="L7">
        <v>51.136000000000003</v>
      </c>
      <c r="M7">
        <v>47.058999999999997</v>
      </c>
      <c r="N7">
        <v>39.130000000000003</v>
      </c>
      <c r="O7">
        <v>39.130000000000003</v>
      </c>
      <c r="P7">
        <v>47.058999999999997</v>
      </c>
      <c r="Q7">
        <v>39.130000000000003</v>
      </c>
      <c r="R7">
        <v>39.130000000000003</v>
      </c>
      <c r="S7">
        <v>0</v>
      </c>
      <c r="T7">
        <v>0</v>
      </c>
      <c r="U7">
        <v>0</v>
      </c>
      <c r="V7">
        <f t="shared" si="0"/>
        <v>37.860749999999996</v>
      </c>
      <c r="W7">
        <f t="shared" si="1"/>
        <v>32.878500000000003</v>
      </c>
      <c r="X7">
        <f t="shared" si="2"/>
        <v>32.349000000000004</v>
      </c>
      <c r="Y7">
        <v>13</v>
      </c>
      <c r="Z7" s="2" t="s">
        <v>34</v>
      </c>
    </row>
    <row r="8" spans="1:26" x14ac:dyDescent="0.25">
      <c r="A8">
        <v>1112</v>
      </c>
      <c r="B8">
        <v>1001</v>
      </c>
      <c r="C8" t="s">
        <v>22</v>
      </c>
      <c r="D8" t="s">
        <v>32</v>
      </c>
      <c r="E8" t="s">
        <v>30</v>
      </c>
      <c r="F8" t="s">
        <v>36</v>
      </c>
      <c r="G8" t="e">
        <f>VLOOKUP(F8,Hospitals!E:H,4,FALSE)</f>
        <v>#N/A</v>
      </c>
      <c r="H8" s="1">
        <v>45644</v>
      </c>
      <c r="I8" t="s">
        <v>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f t="shared" si="0"/>
        <v>0</v>
      </c>
      <c r="W8">
        <f t="shared" si="1"/>
        <v>0</v>
      </c>
      <c r="X8">
        <f t="shared" si="2"/>
        <v>0</v>
      </c>
      <c r="Y8">
        <v>13</v>
      </c>
      <c r="Z8" s="2" t="s">
        <v>34</v>
      </c>
    </row>
    <row r="9" spans="1:26" x14ac:dyDescent="0.25">
      <c r="A9">
        <v>1111</v>
      </c>
      <c r="B9">
        <v>1002</v>
      </c>
      <c r="C9" t="s">
        <v>22</v>
      </c>
      <c r="D9" t="s">
        <v>32</v>
      </c>
      <c r="E9" t="s">
        <v>30</v>
      </c>
      <c r="F9" t="s">
        <v>37</v>
      </c>
      <c r="G9" t="e">
        <f>VLOOKUP(F9,Hospitals!E:H,4,FALSE)</f>
        <v>#N/A</v>
      </c>
      <c r="H9" s="1">
        <v>45644</v>
      </c>
      <c r="I9" t="s">
        <v>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f t="shared" si="0"/>
        <v>0</v>
      </c>
      <c r="W9">
        <f t="shared" si="1"/>
        <v>0</v>
      </c>
      <c r="X9">
        <f t="shared" si="2"/>
        <v>0</v>
      </c>
      <c r="Y9">
        <v>13</v>
      </c>
      <c r="Z9" s="2" t="s">
        <v>34</v>
      </c>
    </row>
    <row r="10" spans="1:26" x14ac:dyDescent="0.25">
      <c r="A10">
        <v>1131</v>
      </c>
      <c r="B10">
        <v>1004</v>
      </c>
      <c r="C10" t="s">
        <v>22</v>
      </c>
      <c r="D10" t="s">
        <v>38</v>
      </c>
      <c r="E10" t="s">
        <v>39</v>
      </c>
      <c r="F10" t="s">
        <v>40</v>
      </c>
      <c r="G10" t="str">
        <f>VLOOKUP(F10,Hospitals!E:H,4,FALSE)</f>
        <v>30.70689 , 76.74921</v>
      </c>
      <c r="H10" s="1">
        <v>45677</v>
      </c>
      <c r="I10" t="s">
        <v>35</v>
      </c>
      <c r="J10">
        <v>0</v>
      </c>
      <c r="K10">
        <v>0</v>
      </c>
      <c r="L10">
        <v>0</v>
      </c>
      <c r="M10">
        <v>82.352999999999994</v>
      </c>
      <c r="N10">
        <v>69.564999999999998</v>
      </c>
      <c r="O10">
        <v>69.564999999999998</v>
      </c>
      <c r="P10">
        <v>82.352999999999994</v>
      </c>
      <c r="Q10">
        <v>69.564999999999998</v>
      </c>
      <c r="R10">
        <v>69.564999999999998</v>
      </c>
      <c r="S10">
        <v>0</v>
      </c>
      <c r="T10">
        <v>0</v>
      </c>
      <c r="U10">
        <v>0</v>
      </c>
      <c r="V10">
        <f t="shared" si="0"/>
        <v>41.176499999999997</v>
      </c>
      <c r="W10">
        <f t="shared" si="1"/>
        <v>34.782499999999999</v>
      </c>
      <c r="X10">
        <f t="shared" si="2"/>
        <v>34.782499999999999</v>
      </c>
      <c r="Y10">
        <v>13</v>
      </c>
      <c r="Z10" s="2" t="s">
        <v>41</v>
      </c>
    </row>
    <row r="11" spans="1:26" x14ac:dyDescent="0.25">
      <c r="A11">
        <v>1156</v>
      </c>
      <c r="B11">
        <v>1005</v>
      </c>
      <c r="C11" t="s">
        <v>22</v>
      </c>
      <c r="D11" t="s">
        <v>42</v>
      </c>
      <c r="E11" t="s">
        <v>30</v>
      </c>
      <c r="F11" t="s">
        <v>43</v>
      </c>
      <c r="G11" t="e">
        <f>VLOOKUP(F11,Hospitals!E:H,4,FALSE)</f>
        <v>#N/A</v>
      </c>
      <c r="H11" s="1">
        <v>45688</v>
      </c>
      <c r="I11" t="s">
        <v>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f t="shared" si="0"/>
        <v>0</v>
      </c>
      <c r="W11">
        <f t="shared" si="1"/>
        <v>0</v>
      </c>
      <c r="X11">
        <f t="shared" si="2"/>
        <v>0</v>
      </c>
      <c r="Y11">
        <v>13</v>
      </c>
      <c r="Z11" s="2" t="s">
        <v>44</v>
      </c>
    </row>
    <row r="12" spans="1:26" x14ac:dyDescent="0.25">
      <c r="A12">
        <v>1162</v>
      </c>
      <c r="B12">
        <v>1007</v>
      </c>
      <c r="C12" t="s">
        <v>22</v>
      </c>
      <c r="D12" t="s">
        <v>42</v>
      </c>
      <c r="E12" t="s">
        <v>30</v>
      </c>
      <c r="F12" t="s">
        <v>45</v>
      </c>
      <c r="G12" t="str">
        <f>VLOOKUP(F12,Hospitals!E:H,4,FALSE)</f>
        <v>30.90096 , 75.85728</v>
      </c>
      <c r="H12" s="1">
        <v>45712</v>
      </c>
      <c r="I12" t="s">
        <v>35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f t="shared" si="0"/>
        <v>0</v>
      </c>
      <c r="W12">
        <f t="shared" si="1"/>
        <v>0</v>
      </c>
      <c r="X12">
        <f t="shared" si="2"/>
        <v>0</v>
      </c>
      <c r="Y12">
        <v>13</v>
      </c>
      <c r="Z12" s="2" t="s">
        <v>44</v>
      </c>
    </row>
    <row r="13" spans="1:26" x14ac:dyDescent="0.25">
      <c r="A13">
        <v>1157</v>
      </c>
      <c r="B13">
        <v>1009</v>
      </c>
      <c r="C13" t="s">
        <v>22</v>
      </c>
      <c r="D13" t="s">
        <v>42</v>
      </c>
      <c r="E13" t="s">
        <v>30</v>
      </c>
      <c r="F13" t="s">
        <v>46</v>
      </c>
      <c r="G13" t="e">
        <f>VLOOKUP(F13,Hospitals!E:H,4,FALSE)</f>
        <v>#N/A</v>
      </c>
      <c r="H13" s="1">
        <v>45689</v>
      </c>
      <c r="I13" t="s">
        <v>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f t="shared" si="0"/>
        <v>0</v>
      </c>
      <c r="W13">
        <f t="shared" si="1"/>
        <v>0</v>
      </c>
      <c r="X13">
        <f t="shared" si="2"/>
        <v>0</v>
      </c>
      <c r="Y13">
        <v>13</v>
      </c>
      <c r="Z13" s="2" t="s">
        <v>44</v>
      </c>
    </row>
    <row r="14" spans="1:26" x14ac:dyDescent="0.25">
      <c r="A14">
        <v>631</v>
      </c>
      <c r="B14">
        <v>101</v>
      </c>
      <c r="C14" t="s">
        <v>22</v>
      </c>
      <c r="D14" t="s">
        <v>29</v>
      </c>
      <c r="E14" t="s">
        <v>30</v>
      </c>
      <c r="F14" t="s">
        <v>47</v>
      </c>
      <c r="G14" t="e">
        <f>VLOOKUP(F14,Hospitals!E:H,4,FALSE)</f>
        <v>#N/A</v>
      </c>
      <c r="H14" s="1">
        <v>45449</v>
      </c>
      <c r="I14" t="s">
        <v>35</v>
      </c>
      <c r="J14">
        <v>0</v>
      </c>
      <c r="K14">
        <v>0</v>
      </c>
      <c r="L14">
        <v>0</v>
      </c>
      <c r="M14">
        <v>94.117999999999995</v>
      </c>
      <c r="N14">
        <v>95.652000000000001</v>
      </c>
      <c r="O14">
        <v>95.652000000000001</v>
      </c>
      <c r="P14">
        <v>94.117999999999995</v>
      </c>
      <c r="Q14">
        <v>95.652000000000001</v>
      </c>
      <c r="R14">
        <v>95.652000000000001</v>
      </c>
      <c r="S14">
        <v>0</v>
      </c>
      <c r="T14">
        <v>0</v>
      </c>
      <c r="U14">
        <v>0</v>
      </c>
      <c r="V14">
        <f t="shared" si="0"/>
        <v>47.058999999999997</v>
      </c>
      <c r="W14">
        <f t="shared" si="1"/>
        <v>47.826000000000001</v>
      </c>
      <c r="X14">
        <f t="shared" si="2"/>
        <v>47.826000000000001</v>
      </c>
      <c r="Y14">
        <v>13</v>
      </c>
      <c r="Z14" s="2" t="s">
        <v>31</v>
      </c>
    </row>
    <row r="15" spans="1:26" x14ac:dyDescent="0.25">
      <c r="A15">
        <v>1158</v>
      </c>
      <c r="B15">
        <v>1011</v>
      </c>
      <c r="C15" t="s">
        <v>22</v>
      </c>
      <c r="D15" t="s">
        <v>42</v>
      </c>
      <c r="E15" t="s">
        <v>30</v>
      </c>
      <c r="F15" t="s">
        <v>48</v>
      </c>
      <c r="G15" t="e">
        <f>VLOOKUP(F15,Hospitals!E:H,4,FALSE)</f>
        <v>#N/A</v>
      </c>
      <c r="H15" s="1">
        <v>45691</v>
      </c>
      <c r="I15" t="s">
        <v>35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f t="shared" si="0"/>
        <v>0</v>
      </c>
      <c r="W15">
        <f t="shared" si="1"/>
        <v>0</v>
      </c>
      <c r="X15">
        <f t="shared" si="2"/>
        <v>0</v>
      </c>
      <c r="Y15">
        <v>13</v>
      </c>
      <c r="Z15" s="2" t="s">
        <v>44</v>
      </c>
    </row>
    <row r="16" spans="1:26" x14ac:dyDescent="0.25">
      <c r="A16">
        <v>1161</v>
      </c>
      <c r="B16">
        <v>1013</v>
      </c>
      <c r="C16" t="s">
        <v>22</v>
      </c>
      <c r="D16" t="s">
        <v>42</v>
      </c>
      <c r="E16" t="s">
        <v>30</v>
      </c>
      <c r="F16" t="s">
        <v>49</v>
      </c>
      <c r="G16" t="e">
        <f>VLOOKUP(F16,Hospitals!E:H,4,FALSE)</f>
        <v>#N/A</v>
      </c>
      <c r="H16" s="1">
        <v>45692</v>
      </c>
      <c r="I16" t="s">
        <v>35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f t="shared" si="0"/>
        <v>0</v>
      </c>
      <c r="W16">
        <f t="shared" si="1"/>
        <v>0</v>
      </c>
      <c r="X16">
        <f t="shared" si="2"/>
        <v>0</v>
      </c>
      <c r="Y16">
        <v>13</v>
      </c>
      <c r="Z16" s="2" t="s">
        <v>44</v>
      </c>
    </row>
    <row r="17" spans="1:26" x14ac:dyDescent="0.25">
      <c r="A17">
        <v>1159</v>
      </c>
      <c r="B17">
        <v>1014</v>
      </c>
      <c r="C17" t="s">
        <v>22</v>
      </c>
      <c r="D17" t="s">
        <v>42</v>
      </c>
      <c r="E17" t="s">
        <v>30</v>
      </c>
      <c r="F17" t="s">
        <v>50</v>
      </c>
      <c r="G17" t="e">
        <f>VLOOKUP(F17,Hospitals!E:H,4,FALSE)</f>
        <v>#N/A</v>
      </c>
      <c r="H17" s="1">
        <v>45691</v>
      </c>
      <c r="I17" t="s">
        <v>35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f t="shared" si="0"/>
        <v>0</v>
      </c>
      <c r="W17">
        <f t="shared" si="1"/>
        <v>0</v>
      </c>
      <c r="X17">
        <f t="shared" si="2"/>
        <v>0</v>
      </c>
      <c r="Y17">
        <v>13</v>
      </c>
      <c r="Z17" s="2" t="s">
        <v>44</v>
      </c>
    </row>
    <row r="18" spans="1:26" x14ac:dyDescent="0.25">
      <c r="A18">
        <v>839</v>
      </c>
      <c r="B18">
        <v>102</v>
      </c>
      <c r="C18" t="s">
        <v>22</v>
      </c>
      <c r="D18" t="s">
        <v>42</v>
      </c>
      <c r="E18" t="s">
        <v>24</v>
      </c>
      <c r="F18" t="s">
        <v>51</v>
      </c>
      <c r="G18" t="str">
        <f>VLOOKUP(F18,Hospitals!E:H,4,FALSE)</f>
        <v>29.36013 , 75.88086</v>
      </c>
      <c r="H18" s="1">
        <v>45477</v>
      </c>
      <c r="I18" s="1">
        <v>45477</v>
      </c>
      <c r="J18">
        <v>51.591999999999999</v>
      </c>
      <c r="K18">
        <v>48.521000000000001</v>
      </c>
      <c r="L18">
        <v>47.158999999999999</v>
      </c>
      <c r="M18">
        <v>58.823999999999998</v>
      </c>
      <c r="N18">
        <v>43.478000000000002</v>
      </c>
      <c r="O18">
        <v>43.478000000000002</v>
      </c>
      <c r="P18">
        <v>58.823999999999998</v>
      </c>
      <c r="Q18">
        <v>43.478000000000002</v>
      </c>
      <c r="R18">
        <v>43.478000000000002</v>
      </c>
      <c r="S18">
        <v>10</v>
      </c>
      <c r="T18">
        <v>8.3330000000000002</v>
      </c>
      <c r="U18">
        <v>0</v>
      </c>
      <c r="V18">
        <f t="shared" si="0"/>
        <v>44.81</v>
      </c>
      <c r="W18">
        <f t="shared" si="1"/>
        <v>35.952500000000001</v>
      </c>
      <c r="X18">
        <f t="shared" si="2"/>
        <v>33.528750000000002</v>
      </c>
      <c r="Y18">
        <v>13</v>
      </c>
      <c r="Z18" s="2" t="s">
        <v>44</v>
      </c>
    </row>
    <row r="19" spans="1:26" x14ac:dyDescent="0.25">
      <c r="A19">
        <v>1170</v>
      </c>
      <c r="B19">
        <v>1020</v>
      </c>
      <c r="C19" t="s">
        <v>22</v>
      </c>
      <c r="D19" t="s">
        <v>42</v>
      </c>
      <c r="E19" t="s">
        <v>30</v>
      </c>
      <c r="F19" t="s">
        <v>52</v>
      </c>
      <c r="G19" t="e">
        <f>VLOOKUP(F19,Hospitals!E:H,4,FALSE)</f>
        <v>#N/A</v>
      </c>
      <c r="H19" s="1">
        <v>45763</v>
      </c>
      <c r="I19" t="s">
        <v>35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f t="shared" si="0"/>
        <v>0</v>
      </c>
      <c r="W19">
        <f t="shared" si="1"/>
        <v>0</v>
      </c>
      <c r="X19">
        <f t="shared" si="2"/>
        <v>0</v>
      </c>
      <c r="Y19">
        <v>13</v>
      </c>
      <c r="Z19" s="2" t="s">
        <v>44</v>
      </c>
    </row>
    <row r="20" spans="1:26" x14ac:dyDescent="0.25">
      <c r="A20">
        <v>1164</v>
      </c>
      <c r="B20">
        <v>1022</v>
      </c>
      <c r="C20" t="s">
        <v>22</v>
      </c>
      <c r="D20" t="s">
        <v>42</v>
      </c>
      <c r="E20" t="s">
        <v>30</v>
      </c>
      <c r="F20" t="s">
        <v>53</v>
      </c>
      <c r="G20" t="e">
        <f>VLOOKUP(F20,Hospitals!E:H,4,FALSE)</f>
        <v>#N/A</v>
      </c>
      <c r="H20" s="1">
        <v>45720</v>
      </c>
      <c r="I20" t="s">
        <v>35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f t="shared" si="0"/>
        <v>0</v>
      </c>
      <c r="W20">
        <f t="shared" si="1"/>
        <v>0</v>
      </c>
      <c r="X20">
        <f t="shared" si="2"/>
        <v>0</v>
      </c>
      <c r="Y20">
        <v>13</v>
      </c>
      <c r="Z20" s="2" t="s">
        <v>44</v>
      </c>
    </row>
    <row r="21" spans="1:26" x14ac:dyDescent="0.25">
      <c r="A21">
        <v>868</v>
      </c>
      <c r="B21">
        <v>103</v>
      </c>
      <c r="C21" t="s">
        <v>22</v>
      </c>
      <c r="D21" t="s">
        <v>42</v>
      </c>
      <c r="E21" t="s">
        <v>24</v>
      </c>
      <c r="F21" t="s">
        <v>54</v>
      </c>
      <c r="G21" t="str">
        <f>VLOOKUP(F21,Hospitals!E:H,4,FALSE)</f>
        <v>28.99308 , 77.01507</v>
      </c>
      <c r="H21" s="1">
        <v>45532</v>
      </c>
      <c r="I21" s="1">
        <v>45532</v>
      </c>
      <c r="J21">
        <v>91.72</v>
      </c>
      <c r="K21">
        <v>88.165999999999997</v>
      </c>
      <c r="L21">
        <v>84.659000000000006</v>
      </c>
      <c r="M21">
        <v>52.941000000000003</v>
      </c>
      <c r="N21">
        <v>39.130000000000003</v>
      </c>
      <c r="O21">
        <v>39.130000000000003</v>
      </c>
      <c r="P21">
        <v>52.941000000000003</v>
      </c>
      <c r="Q21">
        <v>39.130000000000003</v>
      </c>
      <c r="R21">
        <v>39.130000000000003</v>
      </c>
      <c r="S21">
        <v>10</v>
      </c>
      <c r="T21">
        <v>8.3330000000000002</v>
      </c>
      <c r="U21">
        <v>0</v>
      </c>
      <c r="V21">
        <f t="shared" si="0"/>
        <v>51.900500000000001</v>
      </c>
      <c r="W21">
        <f t="shared" si="1"/>
        <v>43.689749999999997</v>
      </c>
      <c r="X21">
        <f t="shared" si="2"/>
        <v>40.729750000000003</v>
      </c>
      <c r="Y21">
        <v>13</v>
      </c>
      <c r="Z21" s="2" t="s">
        <v>44</v>
      </c>
    </row>
    <row r="22" spans="1:26" x14ac:dyDescent="0.25">
      <c r="A22">
        <v>963</v>
      </c>
      <c r="B22">
        <v>104</v>
      </c>
      <c r="C22" t="s">
        <v>22</v>
      </c>
      <c r="D22" t="s">
        <v>42</v>
      </c>
      <c r="E22" t="s">
        <v>24</v>
      </c>
      <c r="F22" t="s">
        <v>55</v>
      </c>
      <c r="G22" t="str">
        <f>VLOOKUP(F22,Hospitals!E:H,4,FALSE)</f>
        <v>29.14919 , 75.72165</v>
      </c>
      <c r="H22" s="1">
        <v>45561</v>
      </c>
      <c r="I22" s="1">
        <v>45561</v>
      </c>
      <c r="J22">
        <v>42.674999999999997</v>
      </c>
      <c r="K22">
        <v>39.645000000000003</v>
      </c>
      <c r="L22">
        <v>38.067999999999998</v>
      </c>
      <c r="M22">
        <v>29.411999999999999</v>
      </c>
      <c r="N22">
        <v>21.739000000000001</v>
      </c>
      <c r="O22">
        <v>21.739000000000001</v>
      </c>
      <c r="P22">
        <v>29.411999999999999</v>
      </c>
      <c r="Q22">
        <v>21.739000000000001</v>
      </c>
      <c r="R22">
        <v>21.739000000000001</v>
      </c>
      <c r="S22">
        <v>0</v>
      </c>
      <c r="T22">
        <v>0</v>
      </c>
      <c r="U22">
        <v>0</v>
      </c>
      <c r="V22">
        <f t="shared" si="0"/>
        <v>25.374749999999999</v>
      </c>
      <c r="W22">
        <f t="shared" si="1"/>
        <v>20.780750000000001</v>
      </c>
      <c r="X22">
        <f t="shared" si="2"/>
        <v>20.386500000000002</v>
      </c>
      <c r="Y22">
        <v>13</v>
      </c>
      <c r="Z22" s="2" t="s">
        <v>44</v>
      </c>
    </row>
    <row r="23" spans="1:26" x14ac:dyDescent="0.25">
      <c r="A23">
        <v>836</v>
      </c>
      <c r="B23">
        <v>105</v>
      </c>
      <c r="C23" t="s">
        <v>22</v>
      </c>
      <c r="D23" t="s">
        <v>42</v>
      </c>
      <c r="E23" t="s">
        <v>24</v>
      </c>
      <c r="F23" t="s">
        <v>56</v>
      </c>
      <c r="G23" t="str">
        <f>VLOOKUP(F23,Hospitals!E:H,4,FALSE)</f>
        <v>28.61629 , 77.28988</v>
      </c>
      <c r="H23" s="1">
        <v>45748</v>
      </c>
      <c r="I23" s="1">
        <v>45748</v>
      </c>
      <c r="J23">
        <v>35.031999999999996</v>
      </c>
      <c r="K23">
        <v>32.543999999999997</v>
      </c>
      <c r="L23">
        <v>31.25</v>
      </c>
      <c r="M23">
        <v>58.823999999999998</v>
      </c>
      <c r="N23">
        <v>47.826000000000001</v>
      </c>
      <c r="O23">
        <v>47.826000000000001</v>
      </c>
      <c r="P23">
        <v>58.823999999999998</v>
      </c>
      <c r="Q23">
        <v>47.826000000000001</v>
      </c>
      <c r="R23">
        <v>47.826000000000001</v>
      </c>
      <c r="S23">
        <v>10</v>
      </c>
      <c r="T23">
        <v>8.3330000000000002</v>
      </c>
      <c r="U23">
        <v>0</v>
      </c>
      <c r="V23">
        <f t="shared" si="0"/>
        <v>40.67</v>
      </c>
      <c r="W23">
        <f t="shared" si="1"/>
        <v>34.132249999999999</v>
      </c>
      <c r="X23">
        <f t="shared" si="2"/>
        <v>31.725499999999997</v>
      </c>
      <c r="Y23">
        <v>13</v>
      </c>
      <c r="Z23" s="2" t="s">
        <v>44</v>
      </c>
    </row>
    <row r="24" spans="1:26" x14ac:dyDescent="0.25">
      <c r="A24">
        <v>886</v>
      </c>
      <c r="B24">
        <v>106</v>
      </c>
      <c r="C24" t="s">
        <v>22</v>
      </c>
      <c r="D24" t="s">
        <v>42</v>
      </c>
      <c r="E24" t="s">
        <v>24</v>
      </c>
      <c r="F24" t="s">
        <v>57</v>
      </c>
      <c r="G24" t="str">
        <f>VLOOKUP(F24,Hospitals!E:H,4,FALSE)</f>
        <v>29.17274 , 76.01374</v>
      </c>
      <c r="H24" s="1">
        <v>45483</v>
      </c>
      <c r="I24" s="1">
        <v>45483</v>
      </c>
      <c r="J24">
        <v>41.401000000000003</v>
      </c>
      <c r="K24">
        <v>40.828000000000003</v>
      </c>
      <c r="L24">
        <v>39.773000000000003</v>
      </c>
      <c r="M24">
        <v>11.765000000000001</v>
      </c>
      <c r="N24">
        <v>17.390999999999998</v>
      </c>
      <c r="O24">
        <v>17.390999999999998</v>
      </c>
      <c r="P24">
        <v>11.765000000000001</v>
      </c>
      <c r="Q24">
        <v>17.390999999999998</v>
      </c>
      <c r="R24">
        <v>17.390999999999998</v>
      </c>
      <c r="S24">
        <v>0</v>
      </c>
      <c r="T24">
        <v>0</v>
      </c>
      <c r="U24">
        <v>0</v>
      </c>
      <c r="V24">
        <f t="shared" si="0"/>
        <v>16.232750000000003</v>
      </c>
      <c r="W24">
        <f t="shared" si="1"/>
        <v>18.9025</v>
      </c>
      <c r="X24">
        <f t="shared" si="2"/>
        <v>18.638750000000002</v>
      </c>
      <c r="Y24">
        <v>13</v>
      </c>
      <c r="Z24" s="2" t="s">
        <v>44</v>
      </c>
    </row>
    <row r="25" spans="1:26" x14ac:dyDescent="0.25">
      <c r="A25">
        <v>1039</v>
      </c>
      <c r="B25">
        <v>107</v>
      </c>
      <c r="C25" t="s">
        <v>22</v>
      </c>
      <c r="D25" t="s">
        <v>42</v>
      </c>
      <c r="E25" t="s">
        <v>24</v>
      </c>
      <c r="F25" t="s">
        <v>58</v>
      </c>
      <c r="G25" t="str">
        <f>VLOOKUP(F25,Hospitals!E:H,4,FALSE)</f>
        <v>29.49838 , 75.87805</v>
      </c>
      <c r="H25" s="1">
        <v>45638</v>
      </c>
      <c r="I25" s="1">
        <v>45638</v>
      </c>
      <c r="J25">
        <v>34.395000000000003</v>
      </c>
      <c r="K25">
        <v>32.543999999999997</v>
      </c>
      <c r="L25">
        <v>31.25</v>
      </c>
      <c r="M25">
        <v>23.529</v>
      </c>
      <c r="N25">
        <v>17.390999999999998</v>
      </c>
      <c r="O25">
        <v>17.390999999999998</v>
      </c>
      <c r="P25">
        <v>23.529</v>
      </c>
      <c r="Q25">
        <v>17.390999999999998</v>
      </c>
      <c r="R25">
        <v>17.390999999999998</v>
      </c>
      <c r="S25">
        <v>10</v>
      </c>
      <c r="T25">
        <v>8.3330000000000002</v>
      </c>
      <c r="U25">
        <v>0</v>
      </c>
      <c r="V25">
        <f t="shared" si="0"/>
        <v>22.863250000000001</v>
      </c>
      <c r="W25">
        <f t="shared" si="1"/>
        <v>18.914749999999998</v>
      </c>
      <c r="X25">
        <f t="shared" si="2"/>
        <v>16.507999999999999</v>
      </c>
      <c r="Y25">
        <v>13</v>
      </c>
      <c r="Z25" s="2" t="s">
        <v>44</v>
      </c>
    </row>
    <row r="26" spans="1:26" x14ac:dyDescent="0.25">
      <c r="A26">
        <v>962</v>
      </c>
      <c r="B26">
        <v>108</v>
      </c>
      <c r="C26" t="s">
        <v>22</v>
      </c>
      <c r="D26" t="s">
        <v>42</v>
      </c>
      <c r="E26" t="s">
        <v>24</v>
      </c>
      <c r="F26" t="s">
        <v>59</v>
      </c>
      <c r="G26" t="str">
        <f>VLOOKUP(F26,Hospitals!E:H,4,FALSE)</f>
        <v>26.37886 , 79.40286</v>
      </c>
      <c r="H26" s="1">
        <v>45554</v>
      </c>
      <c r="I26" s="1">
        <v>45554</v>
      </c>
      <c r="J26">
        <v>35.031999999999996</v>
      </c>
      <c r="K26">
        <v>32.543999999999997</v>
      </c>
      <c r="L26">
        <v>31.25</v>
      </c>
      <c r="M26">
        <v>35.293999999999997</v>
      </c>
      <c r="N26">
        <v>26.087</v>
      </c>
      <c r="O26">
        <v>26.087</v>
      </c>
      <c r="P26">
        <v>35.293999999999997</v>
      </c>
      <c r="Q26">
        <v>26.087</v>
      </c>
      <c r="R26">
        <v>26.087</v>
      </c>
      <c r="S26">
        <v>10</v>
      </c>
      <c r="T26">
        <v>8.3330000000000002</v>
      </c>
      <c r="U26">
        <v>0</v>
      </c>
      <c r="V26">
        <f t="shared" si="0"/>
        <v>28.904999999999998</v>
      </c>
      <c r="W26">
        <f t="shared" si="1"/>
        <v>23.26275</v>
      </c>
      <c r="X26">
        <f t="shared" si="2"/>
        <v>20.856000000000002</v>
      </c>
      <c r="Y26">
        <v>13</v>
      </c>
      <c r="Z26" s="2" t="s">
        <v>44</v>
      </c>
    </row>
    <row r="27" spans="1:26" x14ac:dyDescent="0.25">
      <c r="A27">
        <v>972</v>
      </c>
      <c r="B27">
        <v>109</v>
      </c>
      <c r="C27" t="s">
        <v>22</v>
      </c>
      <c r="D27" t="s">
        <v>42</v>
      </c>
      <c r="E27" t="s">
        <v>24</v>
      </c>
      <c r="F27" t="s">
        <v>60</v>
      </c>
      <c r="G27" t="str">
        <f>VLOOKUP(F27,Hospitals!E:H,4,FALSE)</f>
        <v>29.11015 , 75.81853</v>
      </c>
      <c r="H27" s="1">
        <v>45553</v>
      </c>
      <c r="I27" s="1">
        <v>45553</v>
      </c>
      <c r="J27">
        <v>54.14</v>
      </c>
      <c r="K27">
        <v>50.887999999999998</v>
      </c>
      <c r="L27">
        <v>48.863999999999997</v>
      </c>
      <c r="M27">
        <v>35.293999999999997</v>
      </c>
      <c r="N27">
        <v>26.087</v>
      </c>
      <c r="O27">
        <v>26.087</v>
      </c>
      <c r="P27">
        <v>35.293999999999997</v>
      </c>
      <c r="Q27">
        <v>26.087</v>
      </c>
      <c r="R27">
        <v>26.087</v>
      </c>
      <c r="S27">
        <v>10</v>
      </c>
      <c r="T27">
        <v>8.3330000000000002</v>
      </c>
      <c r="U27">
        <v>0</v>
      </c>
      <c r="V27">
        <f t="shared" si="0"/>
        <v>33.682000000000002</v>
      </c>
      <c r="W27">
        <f t="shared" si="1"/>
        <v>27.848749999999999</v>
      </c>
      <c r="X27">
        <f t="shared" si="2"/>
        <v>25.259499999999999</v>
      </c>
      <c r="Y27">
        <v>13</v>
      </c>
      <c r="Z27" s="2" t="s">
        <v>44</v>
      </c>
    </row>
    <row r="28" spans="1:26" x14ac:dyDescent="0.25">
      <c r="A28">
        <v>904</v>
      </c>
      <c r="B28">
        <v>11</v>
      </c>
      <c r="C28" t="s">
        <v>22</v>
      </c>
      <c r="D28" t="s">
        <v>23</v>
      </c>
      <c r="E28" t="s">
        <v>27</v>
      </c>
      <c r="F28" t="s">
        <v>61</v>
      </c>
      <c r="G28" t="str">
        <f>VLOOKUP(F28,Hospitals!E:H,4,FALSE)</f>
        <v>30.26829 , 76.77664</v>
      </c>
      <c r="H28" s="1">
        <v>45491</v>
      </c>
      <c r="I28" s="1">
        <v>45491</v>
      </c>
      <c r="J28">
        <v>35.031999999999996</v>
      </c>
      <c r="K28">
        <v>32.543999999999997</v>
      </c>
      <c r="L28">
        <v>31.25</v>
      </c>
      <c r="M28">
        <v>35.293999999999997</v>
      </c>
      <c r="N28">
        <v>26.087</v>
      </c>
      <c r="O28">
        <v>26.087</v>
      </c>
      <c r="P28">
        <v>35.293999999999997</v>
      </c>
      <c r="Q28">
        <v>26.087</v>
      </c>
      <c r="R28">
        <v>26.087</v>
      </c>
      <c r="S28">
        <v>0</v>
      </c>
      <c r="T28">
        <v>0</v>
      </c>
      <c r="U28">
        <v>0</v>
      </c>
      <c r="V28">
        <f t="shared" si="0"/>
        <v>26.404999999999998</v>
      </c>
      <c r="W28">
        <f t="shared" si="1"/>
        <v>21.179500000000001</v>
      </c>
      <c r="X28">
        <f t="shared" si="2"/>
        <v>20.856000000000002</v>
      </c>
      <c r="Y28">
        <v>13</v>
      </c>
      <c r="Z28" s="2" t="s">
        <v>26</v>
      </c>
    </row>
    <row r="29" spans="1:26" x14ac:dyDescent="0.25">
      <c r="A29">
        <v>653</v>
      </c>
      <c r="B29">
        <v>110</v>
      </c>
      <c r="C29" t="s">
        <v>22</v>
      </c>
      <c r="D29" t="s">
        <v>42</v>
      </c>
      <c r="E29" t="s">
        <v>62</v>
      </c>
      <c r="F29" t="s">
        <v>63</v>
      </c>
      <c r="G29" t="str">
        <f>VLOOKUP(F29,Hospitals!E:H,4,FALSE)</f>
        <v>29.14386 , 75.72357</v>
      </c>
      <c r="H29" s="1">
        <v>45466</v>
      </c>
      <c r="I29" s="1">
        <v>45466</v>
      </c>
      <c r="J29">
        <v>100</v>
      </c>
      <c r="K29">
        <v>99.408000000000001</v>
      </c>
      <c r="L29">
        <v>99.432000000000002</v>
      </c>
      <c r="M29">
        <v>94.117999999999995</v>
      </c>
      <c r="N29">
        <v>86.956999999999994</v>
      </c>
      <c r="O29">
        <v>86.956999999999994</v>
      </c>
      <c r="P29">
        <v>94.117999999999995</v>
      </c>
      <c r="Q29">
        <v>86.956999999999994</v>
      </c>
      <c r="R29">
        <v>86.956999999999994</v>
      </c>
      <c r="S29">
        <v>40</v>
      </c>
      <c r="T29">
        <v>33.332999999999998</v>
      </c>
      <c r="U29">
        <v>14.286</v>
      </c>
      <c r="V29">
        <f t="shared" si="0"/>
        <v>82.058999999999997</v>
      </c>
      <c r="W29">
        <f t="shared" si="1"/>
        <v>76.663749999999993</v>
      </c>
      <c r="X29">
        <f t="shared" si="2"/>
        <v>71.908000000000001</v>
      </c>
      <c r="Y29">
        <v>13</v>
      </c>
      <c r="Z29" s="2" t="s">
        <v>44</v>
      </c>
    </row>
    <row r="30" spans="1:26" x14ac:dyDescent="0.25">
      <c r="A30">
        <v>1254</v>
      </c>
      <c r="B30">
        <v>1101</v>
      </c>
      <c r="C30" t="s">
        <v>22</v>
      </c>
      <c r="D30" t="s">
        <v>64</v>
      </c>
      <c r="E30" t="s">
        <v>62</v>
      </c>
      <c r="F30" t="s">
        <v>65</v>
      </c>
      <c r="G30" t="str">
        <f>VLOOKUP(F30,Hospitals!E:H,4,FALSE)</f>
        <v>28.1354 , 77.3271</v>
      </c>
      <c r="H30" s="1">
        <v>45996</v>
      </c>
      <c r="I30" s="1">
        <v>45996</v>
      </c>
      <c r="J30">
        <v>40.127000000000002</v>
      </c>
      <c r="K30">
        <v>39.052999999999997</v>
      </c>
      <c r="L30">
        <v>38.067999999999998</v>
      </c>
      <c r="M30">
        <v>70.587999999999994</v>
      </c>
      <c r="N30">
        <v>69.564999999999998</v>
      </c>
      <c r="O30">
        <v>69.564999999999998</v>
      </c>
      <c r="P30">
        <v>70.587999999999994</v>
      </c>
      <c r="Q30">
        <v>69.564999999999998</v>
      </c>
      <c r="R30">
        <v>69.564999999999998</v>
      </c>
      <c r="S30">
        <v>30</v>
      </c>
      <c r="T30">
        <v>25</v>
      </c>
      <c r="U30">
        <v>0</v>
      </c>
      <c r="V30">
        <f t="shared" si="0"/>
        <v>52.825749999999999</v>
      </c>
      <c r="W30">
        <f t="shared" si="1"/>
        <v>50.795749999999998</v>
      </c>
      <c r="X30">
        <f t="shared" si="2"/>
        <v>44.299499999999995</v>
      </c>
      <c r="Y30">
        <v>13</v>
      </c>
      <c r="Z30" s="2" t="s">
        <v>66</v>
      </c>
    </row>
    <row r="31" spans="1:26" x14ac:dyDescent="0.25">
      <c r="A31">
        <v>969</v>
      </c>
      <c r="B31">
        <v>111</v>
      </c>
      <c r="C31" t="s">
        <v>22</v>
      </c>
      <c r="D31" t="s">
        <v>42</v>
      </c>
      <c r="E31" t="s">
        <v>27</v>
      </c>
      <c r="F31" t="s">
        <v>67</v>
      </c>
      <c r="G31" t="str">
        <f>VLOOKUP(F31,Hospitals!E:H,4,FALSE)</f>
        <v>29.38634 , 76.95565</v>
      </c>
      <c r="H31" s="1">
        <v>45524</v>
      </c>
      <c r="I31" s="1">
        <v>45524</v>
      </c>
      <c r="J31">
        <v>54.14</v>
      </c>
      <c r="K31">
        <v>50.887999999999998</v>
      </c>
      <c r="L31">
        <v>48.863999999999997</v>
      </c>
      <c r="M31">
        <v>47.058999999999997</v>
      </c>
      <c r="N31">
        <v>34.783000000000001</v>
      </c>
      <c r="O31">
        <v>34.783000000000001</v>
      </c>
      <c r="P31">
        <v>47.058999999999997</v>
      </c>
      <c r="Q31">
        <v>34.783000000000001</v>
      </c>
      <c r="R31">
        <v>34.783000000000001</v>
      </c>
      <c r="S31">
        <v>0</v>
      </c>
      <c r="T31">
        <v>0</v>
      </c>
      <c r="U31">
        <v>0</v>
      </c>
      <c r="V31">
        <f t="shared" si="0"/>
        <v>37.064499999999995</v>
      </c>
      <c r="W31">
        <f t="shared" si="1"/>
        <v>30.113499999999998</v>
      </c>
      <c r="X31">
        <f t="shared" si="2"/>
        <v>29.607499999999998</v>
      </c>
      <c r="Y31">
        <v>13</v>
      </c>
      <c r="Z31" s="2" t="s">
        <v>44</v>
      </c>
    </row>
    <row r="32" spans="1:26" x14ac:dyDescent="0.25">
      <c r="A32">
        <v>858</v>
      </c>
      <c r="B32">
        <v>112</v>
      </c>
      <c r="C32" t="s">
        <v>22</v>
      </c>
      <c r="D32" t="s">
        <v>42</v>
      </c>
      <c r="E32" t="s">
        <v>68</v>
      </c>
      <c r="F32" t="s">
        <v>69</v>
      </c>
      <c r="G32" t="str">
        <f>VLOOKUP(F32,Hospitals!E:H,4,FALSE)</f>
        <v>28.03182 , 76.1088</v>
      </c>
      <c r="H32" s="1">
        <v>45474</v>
      </c>
      <c r="I32" s="1">
        <v>45474</v>
      </c>
      <c r="J32">
        <v>51.591999999999999</v>
      </c>
      <c r="K32">
        <v>48.521000000000001</v>
      </c>
      <c r="L32">
        <v>46.591000000000001</v>
      </c>
      <c r="M32">
        <v>29.411999999999999</v>
      </c>
      <c r="N32">
        <v>21.739000000000001</v>
      </c>
      <c r="O32">
        <v>21.739000000000001</v>
      </c>
      <c r="P32">
        <v>29.411999999999999</v>
      </c>
      <c r="Q32">
        <v>21.739000000000001</v>
      </c>
      <c r="R32">
        <v>21.739000000000001</v>
      </c>
      <c r="S32">
        <v>20</v>
      </c>
      <c r="T32">
        <v>8.3330000000000002</v>
      </c>
      <c r="U32">
        <v>0</v>
      </c>
      <c r="V32">
        <f t="shared" si="0"/>
        <v>32.603999999999999</v>
      </c>
      <c r="W32">
        <f t="shared" si="1"/>
        <v>25.083000000000002</v>
      </c>
      <c r="X32">
        <f t="shared" si="2"/>
        <v>22.517250000000001</v>
      </c>
      <c r="Y32">
        <v>13</v>
      </c>
      <c r="Z32" s="2" t="s">
        <v>44</v>
      </c>
    </row>
    <row r="33" spans="1:26" x14ac:dyDescent="0.25">
      <c r="A33">
        <v>968</v>
      </c>
      <c r="B33">
        <v>113</v>
      </c>
      <c r="C33" t="s">
        <v>22</v>
      </c>
      <c r="D33" t="s">
        <v>42</v>
      </c>
      <c r="E33" t="s">
        <v>27</v>
      </c>
      <c r="F33" t="s">
        <v>70</v>
      </c>
      <c r="G33" t="str">
        <f>VLOOKUP(F33,Hospitals!E:H,4,FALSE)</f>
        <v>29.04954 , 75.57425</v>
      </c>
      <c r="H33" s="1">
        <v>45524</v>
      </c>
      <c r="I33" t="s">
        <v>35</v>
      </c>
      <c r="J33">
        <v>45.222999999999999</v>
      </c>
      <c r="K33">
        <v>42.603999999999999</v>
      </c>
      <c r="L33">
        <v>40.908999999999999</v>
      </c>
      <c r="M33">
        <v>58.823999999999998</v>
      </c>
      <c r="N33">
        <v>43.478000000000002</v>
      </c>
      <c r="O33">
        <v>43.478000000000002</v>
      </c>
      <c r="P33">
        <v>58.823999999999998</v>
      </c>
      <c r="Q33">
        <v>43.478000000000002</v>
      </c>
      <c r="R33">
        <v>43.478000000000002</v>
      </c>
      <c r="S33">
        <v>0</v>
      </c>
      <c r="T33">
        <v>0</v>
      </c>
      <c r="U33">
        <v>0</v>
      </c>
      <c r="V33">
        <f t="shared" si="0"/>
        <v>40.717749999999995</v>
      </c>
      <c r="W33">
        <f t="shared" si="1"/>
        <v>32.39</v>
      </c>
      <c r="X33">
        <f t="shared" si="2"/>
        <v>31.966250000000002</v>
      </c>
      <c r="Y33">
        <v>13</v>
      </c>
      <c r="Z33" s="2" t="s">
        <v>44</v>
      </c>
    </row>
    <row r="34" spans="1:26" x14ac:dyDescent="0.25">
      <c r="A34">
        <v>887</v>
      </c>
      <c r="B34">
        <v>113</v>
      </c>
      <c r="C34" t="s">
        <v>22</v>
      </c>
      <c r="D34" t="s">
        <v>42</v>
      </c>
      <c r="E34" t="s">
        <v>27</v>
      </c>
      <c r="F34" t="s">
        <v>70</v>
      </c>
      <c r="G34" t="str">
        <f>VLOOKUP(F34,Hospitals!E:H,4,FALSE)</f>
        <v>29.04954 , 75.57425</v>
      </c>
      <c r="H34" s="1">
        <v>45478</v>
      </c>
      <c r="I34" s="1">
        <v>45478</v>
      </c>
      <c r="J34">
        <v>45.222999999999999</v>
      </c>
      <c r="K34">
        <v>42.603999999999999</v>
      </c>
      <c r="L34">
        <v>40.908999999999999</v>
      </c>
      <c r="M34">
        <v>58.823999999999998</v>
      </c>
      <c r="N34">
        <v>43.478000000000002</v>
      </c>
      <c r="O34">
        <v>43.478000000000002</v>
      </c>
      <c r="P34">
        <v>58.823999999999998</v>
      </c>
      <c r="Q34">
        <v>43.478000000000002</v>
      </c>
      <c r="R34">
        <v>43.478000000000002</v>
      </c>
      <c r="S34">
        <v>0</v>
      </c>
      <c r="T34">
        <v>0</v>
      </c>
      <c r="U34">
        <v>0</v>
      </c>
      <c r="V34">
        <f t="shared" si="0"/>
        <v>40.717749999999995</v>
      </c>
      <c r="W34">
        <f t="shared" si="1"/>
        <v>32.39</v>
      </c>
      <c r="X34">
        <f t="shared" si="2"/>
        <v>31.966250000000002</v>
      </c>
      <c r="Y34">
        <v>13</v>
      </c>
      <c r="Z34" s="2" t="s">
        <v>44</v>
      </c>
    </row>
    <row r="35" spans="1:26" x14ac:dyDescent="0.25">
      <c r="A35">
        <v>884</v>
      </c>
      <c r="B35">
        <v>114</v>
      </c>
      <c r="C35" t="s">
        <v>22</v>
      </c>
      <c r="D35" t="s">
        <v>42</v>
      </c>
      <c r="E35" t="s">
        <v>27</v>
      </c>
      <c r="F35" t="s">
        <v>71</v>
      </c>
      <c r="G35" t="str">
        <f>VLOOKUP(F35,Hospitals!E:H,4,FALSE)</f>
        <v>29.14919 , 75.72165</v>
      </c>
      <c r="H35" s="1">
        <v>45478</v>
      </c>
      <c r="I35" s="1">
        <v>45478</v>
      </c>
      <c r="J35">
        <v>24.841000000000001</v>
      </c>
      <c r="K35">
        <v>23.077000000000002</v>
      </c>
      <c r="L35">
        <v>22.158999999999999</v>
      </c>
      <c r="M35">
        <v>5.8819999999999997</v>
      </c>
      <c r="N35">
        <v>4.3479999999999999</v>
      </c>
      <c r="O35">
        <v>4.3479999999999999</v>
      </c>
      <c r="P35">
        <v>5.8819999999999997</v>
      </c>
      <c r="Q35">
        <v>4.3479999999999999</v>
      </c>
      <c r="R35">
        <v>4.3479999999999999</v>
      </c>
      <c r="S35">
        <v>0</v>
      </c>
      <c r="T35">
        <v>0</v>
      </c>
      <c r="U35">
        <v>0</v>
      </c>
      <c r="V35">
        <f t="shared" si="0"/>
        <v>9.1512499999999992</v>
      </c>
      <c r="W35">
        <f t="shared" si="1"/>
        <v>7.9432499999999999</v>
      </c>
      <c r="X35">
        <f t="shared" si="2"/>
        <v>7.7137499999999992</v>
      </c>
      <c r="Y35">
        <v>13</v>
      </c>
      <c r="Z35" s="2" t="s">
        <v>44</v>
      </c>
    </row>
    <row r="36" spans="1:26" x14ac:dyDescent="0.25">
      <c r="A36">
        <v>831</v>
      </c>
      <c r="B36">
        <v>115</v>
      </c>
      <c r="C36" t="s">
        <v>22</v>
      </c>
      <c r="D36" t="s">
        <v>42</v>
      </c>
      <c r="E36" t="s">
        <v>27</v>
      </c>
      <c r="F36" t="s">
        <v>72</v>
      </c>
      <c r="G36" t="str">
        <f>VLOOKUP(F36,Hospitals!E:H,4,FALSE)</f>
        <v>29.39095 , 76.9635</v>
      </c>
      <c r="H36" s="1">
        <v>45477</v>
      </c>
      <c r="I36" s="1">
        <v>45477</v>
      </c>
      <c r="J36">
        <v>59.235999999999997</v>
      </c>
      <c r="K36">
        <v>55.621000000000002</v>
      </c>
      <c r="L36">
        <v>53.408999999999999</v>
      </c>
      <c r="M36">
        <v>52.941000000000003</v>
      </c>
      <c r="N36">
        <v>39.130000000000003</v>
      </c>
      <c r="O36">
        <v>39.130000000000003</v>
      </c>
      <c r="P36">
        <v>52.941000000000003</v>
      </c>
      <c r="Q36">
        <v>39.130000000000003</v>
      </c>
      <c r="R36">
        <v>39.130000000000003</v>
      </c>
      <c r="S36">
        <v>0</v>
      </c>
      <c r="T36">
        <v>0</v>
      </c>
      <c r="U36">
        <v>0</v>
      </c>
      <c r="V36">
        <f t="shared" si="0"/>
        <v>41.279499999999999</v>
      </c>
      <c r="W36">
        <f t="shared" si="1"/>
        <v>33.47025</v>
      </c>
      <c r="X36">
        <f t="shared" si="2"/>
        <v>32.917250000000003</v>
      </c>
      <c r="Y36">
        <v>13</v>
      </c>
      <c r="Z36" s="2" t="s">
        <v>44</v>
      </c>
    </row>
    <row r="37" spans="1:26" x14ac:dyDescent="0.25">
      <c r="A37">
        <v>871</v>
      </c>
      <c r="B37">
        <v>116</v>
      </c>
      <c r="C37" t="s">
        <v>22</v>
      </c>
      <c r="D37" t="s">
        <v>42</v>
      </c>
      <c r="E37" t="s">
        <v>27</v>
      </c>
      <c r="F37" t="s">
        <v>73</v>
      </c>
      <c r="G37" t="str">
        <f>VLOOKUP(F37,Hospitals!E:H,4,FALSE)</f>
        <v>29.13581 , 75.71701</v>
      </c>
      <c r="H37" s="1">
        <v>45475</v>
      </c>
      <c r="I37" s="1">
        <v>45475</v>
      </c>
      <c r="J37">
        <v>13.375999999999999</v>
      </c>
      <c r="K37">
        <v>12.426</v>
      </c>
      <c r="L37">
        <v>11.932</v>
      </c>
      <c r="M37">
        <v>17.646999999999998</v>
      </c>
      <c r="N37">
        <v>13.042999999999999</v>
      </c>
      <c r="O37">
        <v>13.042999999999999</v>
      </c>
      <c r="P37">
        <v>17.646999999999998</v>
      </c>
      <c r="Q37">
        <v>13.042999999999999</v>
      </c>
      <c r="R37">
        <v>13.042999999999999</v>
      </c>
      <c r="S37">
        <v>0</v>
      </c>
      <c r="T37">
        <v>0</v>
      </c>
      <c r="U37">
        <v>0</v>
      </c>
      <c r="V37">
        <f t="shared" si="0"/>
        <v>12.167499999999999</v>
      </c>
      <c r="W37">
        <f t="shared" si="1"/>
        <v>9.6280000000000001</v>
      </c>
      <c r="X37">
        <f t="shared" si="2"/>
        <v>9.5045000000000002</v>
      </c>
      <c r="Y37">
        <v>13</v>
      </c>
      <c r="Z37" s="2" t="s">
        <v>44</v>
      </c>
    </row>
    <row r="38" spans="1:26" x14ac:dyDescent="0.25">
      <c r="A38">
        <v>1030</v>
      </c>
      <c r="B38">
        <v>117</v>
      </c>
      <c r="C38" t="s">
        <v>22</v>
      </c>
      <c r="D38" t="s">
        <v>42</v>
      </c>
      <c r="E38" t="s">
        <v>27</v>
      </c>
      <c r="F38" t="s">
        <v>74</v>
      </c>
      <c r="G38" t="str">
        <f>VLOOKUP(F38,Hospitals!E:H,4,FALSE)</f>
        <v>29.43055 , 74.92088</v>
      </c>
      <c r="H38" s="1">
        <v>45605</v>
      </c>
      <c r="I38" s="1">
        <v>45605</v>
      </c>
      <c r="J38">
        <v>67.516000000000005</v>
      </c>
      <c r="K38">
        <v>63.314</v>
      </c>
      <c r="L38">
        <v>60.795000000000002</v>
      </c>
      <c r="M38">
        <v>23.529</v>
      </c>
      <c r="N38">
        <v>17.390999999999998</v>
      </c>
      <c r="O38">
        <v>17.390999999999998</v>
      </c>
      <c r="P38">
        <v>23.529</v>
      </c>
      <c r="Q38">
        <v>17.390999999999998</v>
      </c>
      <c r="R38">
        <v>17.390999999999998</v>
      </c>
      <c r="S38">
        <v>0</v>
      </c>
      <c r="T38">
        <v>0</v>
      </c>
      <c r="U38">
        <v>0</v>
      </c>
      <c r="V38">
        <f t="shared" si="0"/>
        <v>28.6435</v>
      </c>
      <c r="W38">
        <f t="shared" si="1"/>
        <v>24.524000000000001</v>
      </c>
      <c r="X38">
        <f t="shared" si="2"/>
        <v>23.89425</v>
      </c>
      <c r="Y38">
        <v>13</v>
      </c>
      <c r="Z38" s="2" t="s">
        <v>44</v>
      </c>
    </row>
    <row r="39" spans="1:26" x14ac:dyDescent="0.25">
      <c r="A39">
        <v>1063</v>
      </c>
      <c r="B39">
        <v>118</v>
      </c>
      <c r="C39" t="s">
        <v>22</v>
      </c>
      <c r="D39" t="s">
        <v>42</v>
      </c>
      <c r="E39" t="s">
        <v>27</v>
      </c>
      <c r="F39" t="s">
        <v>75</v>
      </c>
      <c r="G39" t="str">
        <f>VLOOKUP(F39,Hospitals!E:H,4,FALSE)</f>
        <v>29.39095 , 76.9635</v>
      </c>
      <c r="H39" s="1">
        <v>45559</v>
      </c>
      <c r="I39" s="1">
        <v>45775</v>
      </c>
      <c r="J39">
        <v>17.834</v>
      </c>
      <c r="K39">
        <v>16.568000000000001</v>
      </c>
      <c r="L39">
        <v>15.909000000000001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f t="shared" si="0"/>
        <v>4.4584999999999999</v>
      </c>
      <c r="W39">
        <f t="shared" si="1"/>
        <v>4.1420000000000003</v>
      </c>
      <c r="X39">
        <f t="shared" si="2"/>
        <v>3.9772500000000002</v>
      </c>
      <c r="Y39">
        <v>13</v>
      </c>
      <c r="Z39" s="2" t="s">
        <v>44</v>
      </c>
    </row>
    <row r="40" spans="1:26" x14ac:dyDescent="0.25">
      <c r="A40">
        <v>1061</v>
      </c>
      <c r="B40">
        <v>118</v>
      </c>
      <c r="C40" t="s">
        <v>22</v>
      </c>
      <c r="D40" t="s">
        <v>42</v>
      </c>
      <c r="E40" t="s">
        <v>27</v>
      </c>
      <c r="F40" t="s">
        <v>75</v>
      </c>
      <c r="G40" t="str">
        <f>VLOOKUP(F40,Hospitals!E:H,4,FALSE)</f>
        <v>29.39095 , 76.9635</v>
      </c>
      <c r="H40" s="1">
        <v>45556</v>
      </c>
      <c r="I40" s="1">
        <v>45559</v>
      </c>
      <c r="J40">
        <v>17.834</v>
      </c>
      <c r="K40">
        <v>16.568000000000001</v>
      </c>
      <c r="L40">
        <v>15.909000000000001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f t="shared" si="0"/>
        <v>4.4584999999999999</v>
      </c>
      <c r="W40">
        <f t="shared" si="1"/>
        <v>4.1420000000000003</v>
      </c>
      <c r="X40">
        <f t="shared" si="2"/>
        <v>3.9772500000000002</v>
      </c>
      <c r="Y40">
        <v>13</v>
      </c>
      <c r="Z40" s="2" t="s">
        <v>44</v>
      </c>
    </row>
    <row r="41" spans="1:26" x14ac:dyDescent="0.25">
      <c r="A41">
        <v>835</v>
      </c>
      <c r="B41">
        <v>118</v>
      </c>
      <c r="C41" t="s">
        <v>22</v>
      </c>
      <c r="D41" t="s">
        <v>42</v>
      </c>
      <c r="E41" t="s">
        <v>27</v>
      </c>
      <c r="F41" t="s">
        <v>75</v>
      </c>
      <c r="G41" t="str">
        <f>VLOOKUP(F41,Hospitals!E:H,4,FALSE)</f>
        <v>29.39095 , 76.9635</v>
      </c>
      <c r="H41" s="1">
        <v>45556</v>
      </c>
      <c r="I41" s="1">
        <v>45559</v>
      </c>
      <c r="J41">
        <v>17.834</v>
      </c>
      <c r="K41">
        <v>16.568000000000001</v>
      </c>
      <c r="L41">
        <v>15.909000000000001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f t="shared" si="0"/>
        <v>4.4584999999999999</v>
      </c>
      <c r="W41">
        <f t="shared" si="1"/>
        <v>4.1420000000000003</v>
      </c>
      <c r="X41">
        <f t="shared" si="2"/>
        <v>3.9772500000000002</v>
      </c>
      <c r="Y41">
        <v>13</v>
      </c>
      <c r="Z41" s="2" t="s">
        <v>44</v>
      </c>
    </row>
    <row r="42" spans="1:26" x14ac:dyDescent="0.25">
      <c r="A42">
        <v>1005</v>
      </c>
      <c r="B42">
        <v>119</v>
      </c>
      <c r="C42" t="s">
        <v>22</v>
      </c>
      <c r="D42" t="s">
        <v>42</v>
      </c>
      <c r="E42" t="s">
        <v>27</v>
      </c>
      <c r="F42" t="s">
        <v>76</v>
      </c>
      <c r="G42" t="str">
        <f>VLOOKUP(F42,Hospitals!E:H,4,FALSE)</f>
        <v>29.38962 , 76.97859</v>
      </c>
      <c r="H42" s="1">
        <v>45534</v>
      </c>
      <c r="I42" s="1">
        <v>45534</v>
      </c>
      <c r="J42">
        <v>19.108000000000001</v>
      </c>
      <c r="K42">
        <v>17.751000000000001</v>
      </c>
      <c r="L42">
        <v>17.045000000000002</v>
      </c>
      <c r="M42">
        <v>41.176000000000002</v>
      </c>
      <c r="N42">
        <v>30.434999999999999</v>
      </c>
      <c r="O42">
        <v>30.434999999999999</v>
      </c>
      <c r="P42">
        <v>41.176000000000002</v>
      </c>
      <c r="Q42">
        <v>30.434999999999999</v>
      </c>
      <c r="R42">
        <v>30.434999999999999</v>
      </c>
      <c r="S42">
        <v>0</v>
      </c>
      <c r="T42">
        <v>0</v>
      </c>
      <c r="U42">
        <v>0</v>
      </c>
      <c r="V42">
        <f t="shared" si="0"/>
        <v>25.365000000000002</v>
      </c>
      <c r="W42">
        <f t="shared" si="1"/>
        <v>19.655249999999999</v>
      </c>
      <c r="X42">
        <f t="shared" si="2"/>
        <v>19.478750000000002</v>
      </c>
      <c r="Y42">
        <v>13</v>
      </c>
      <c r="Z42" s="2" t="s">
        <v>44</v>
      </c>
    </row>
    <row r="43" spans="1:26" x14ac:dyDescent="0.25">
      <c r="A43">
        <v>1006</v>
      </c>
      <c r="B43">
        <v>119</v>
      </c>
      <c r="C43" t="s">
        <v>22</v>
      </c>
      <c r="D43" t="s">
        <v>42</v>
      </c>
      <c r="E43" t="s">
        <v>27</v>
      </c>
      <c r="F43" t="s">
        <v>76</v>
      </c>
      <c r="G43" t="str">
        <f>VLOOKUP(F43,Hospitals!E:H,4,FALSE)</f>
        <v>29.38962 , 76.97859</v>
      </c>
      <c r="H43" s="1">
        <v>45534</v>
      </c>
      <c r="I43" t="s">
        <v>35</v>
      </c>
      <c r="J43">
        <v>19.108000000000001</v>
      </c>
      <c r="K43">
        <v>17.751000000000001</v>
      </c>
      <c r="L43">
        <v>17.045000000000002</v>
      </c>
      <c r="M43">
        <v>41.176000000000002</v>
      </c>
      <c r="N43">
        <v>30.434999999999999</v>
      </c>
      <c r="O43">
        <v>30.434999999999999</v>
      </c>
      <c r="P43">
        <v>41.176000000000002</v>
      </c>
      <c r="Q43">
        <v>30.434999999999999</v>
      </c>
      <c r="R43">
        <v>30.434999999999999</v>
      </c>
      <c r="S43">
        <v>0</v>
      </c>
      <c r="T43">
        <v>0</v>
      </c>
      <c r="U43">
        <v>0</v>
      </c>
      <c r="V43">
        <f t="shared" si="0"/>
        <v>25.365000000000002</v>
      </c>
      <c r="W43">
        <f t="shared" si="1"/>
        <v>19.655249999999999</v>
      </c>
      <c r="X43">
        <f t="shared" si="2"/>
        <v>19.478750000000002</v>
      </c>
      <c r="Y43">
        <v>13</v>
      </c>
      <c r="Z43" s="2" t="s">
        <v>44</v>
      </c>
    </row>
    <row r="44" spans="1:26" x14ac:dyDescent="0.25">
      <c r="A44">
        <v>1004</v>
      </c>
      <c r="B44">
        <v>119</v>
      </c>
      <c r="C44" t="s">
        <v>22</v>
      </c>
      <c r="D44" t="s">
        <v>42</v>
      </c>
      <c r="E44" t="s">
        <v>27</v>
      </c>
      <c r="F44" t="s">
        <v>76</v>
      </c>
      <c r="G44" t="str">
        <f>VLOOKUP(F44,Hospitals!E:H,4,FALSE)</f>
        <v>29.38962 , 76.97859</v>
      </c>
      <c r="H44" s="1">
        <v>45534</v>
      </c>
      <c r="I44" s="1">
        <v>45534</v>
      </c>
      <c r="J44">
        <v>19.108000000000001</v>
      </c>
      <c r="K44">
        <v>17.751000000000001</v>
      </c>
      <c r="L44">
        <v>17.045000000000002</v>
      </c>
      <c r="M44">
        <v>41.176000000000002</v>
      </c>
      <c r="N44">
        <v>30.434999999999999</v>
      </c>
      <c r="O44">
        <v>30.434999999999999</v>
      </c>
      <c r="P44">
        <v>41.176000000000002</v>
      </c>
      <c r="Q44">
        <v>30.434999999999999</v>
      </c>
      <c r="R44">
        <v>30.434999999999999</v>
      </c>
      <c r="S44">
        <v>0</v>
      </c>
      <c r="T44">
        <v>0</v>
      </c>
      <c r="U44">
        <v>0</v>
      </c>
      <c r="V44">
        <f t="shared" si="0"/>
        <v>25.365000000000002</v>
      </c>
      <c r="W44">
        <f t="shared" si="1"/>
        <v>19.655249999999999</v>
      </c>
      <c r="X44">
        <f t="shared" si="2"/>
        <v>19.478750000000002</v>
      </c>
      <c r="Y44">
        <v>13</v>
      </c>
      <c r="Z44" s="2" t="s">
        <v>44</v>
      </c>
    </row>
    <row r="45" spans="1:26" x14ac:dyDescent="0.25">
      <c r="A45">
        <v>1002</v>
      </c>
      <c r="B45">
        <v>119</v>
      </c>
      <c r="C45" t="s">
        <v>22</v>
      </c>
      <c r="D45" t="s">
        <v>42</v>
      </c>
      <c r="E45" t="s">
        <v>27</v>
      </c>
      <c r="F45" t="s">
        <v>76</v>
      </c>
      <c r="G45" t="str">
        <f>VLOOKUP(F45,Hospitals!E:H,4,FALSE)</f>
        <v>29.38962 , 76.97859</v>
      </c>
      <c r="H45" s="1">
        <v>45534</v>
      </c>
      <c r="I45" s="1">
        <v>45534</v>
      </c>
      <c r="J45">
        <v>19.108000000000001</v>
      </c>
      <c r="K45">
        <v>17.751000000000001</v>
      </c>
      <c r="L45">
        <v>17.045000000000002</v>
      </c>
      <c r="M45">
        <v>41.176000000000002</v>
      </c>
      <c r="N45">
        <v>30.434999999999999</v>
      </c>
      <c r="O45">
        <v>30.434999999999999</v>
      </c>
      <c r="P45">
        <v>41.176000000000002</v>
      </c>
      <c r="Q45">
        <v>30.434999999999999</v>
      </c>
      <c r="R45">
        <v>30.434999999999999</v>
      </c>
      <c r="S45">
        <v>0</v>
      </c>
      <c r="T45">
        <v>0</v>
      </c>
      <c r="U45">
        <v>0</v>
      </c>
      <c r="V45">
        <f t="shared" si="0"/>
        <v>25.365000000000002</v>
      </c>
      <c r="W45">
        <f t="shared" si="1"/>
        <v>19.655249999999999</v>
      </c>
      <c r="X45">
        <f t="shared" si="2"/>
        <v>19.478750000000002</v>
      </c>
      <c r="Y45">
        <v>13</v>
      </c>
      <c r="Z45" s="2" t="s">
        <v>44</v>
      </c>
    </row>
    <row r="46" spans="1:26" x14ac:dyDescent="0.25">
      <c r="A46">
        <v>1248</v>
      </c>
      <c r="B46">
        <v>1192</v>
      </c>
      <c r="C46" t="s">
        <v>22</v>
      </c>
      <c r="D46" t="s">
        <v>64</v>
      </c>
      <c r="E46" t="s">
        <v>77</v>
      </c>
      <c r="F46" t="s">
        <v>78</v>
      </c>
      <c r="G46" t="e">
        <f>VLOOKUP(F46,Hospitals!E:H,4,FALSE)</f>
        <v>#N/A</v>
      </c>
      <c r="H46" s="1">
        <v>45981</v>
      </c>
      <c r="I46" s="1">
        <v>45981</v>
      </c>
      <c r="J46">
        <v>42.674999999999997</v>
      </c>
      <c r="K46">
        <v>40.237000000000002</v>
      </c>
      <c r="L46">
        <v>38.636000000000003</v>
      </c>
      <c r="M46">
        <v>47.058999999999997</v>
      </c>
      <c r="N46">
        <v>34.783000000000001</v>
      </c>
      <c r="O46">
        <v>34.783000000000001</v>
      </c>
      <c r="P46">
        <v>47.058999999999997</v>
      </c>
      <c r="Q46">
        <v>34.783000000000001</v>
      </c>
      <c r="R46">
        <v>34.783000000000001</v>
      </c>
      <c r="S46">
        <v>10</v>
      </c>
      <c r="T46">
        <v>8.3330000000000002</v>
      </c>
      <c r="U46">
        <v>0</v>
      </c>
      <c r="V46">
        <f t="shared" si="0"/>
        <v>36.698250000000002</v>
      </c>
      <c r="W46">
        <f t="shared" si="1"/>
        <v>29.534000000000002</v>
      </c>
      <c r="X46">
        <f t="shared" si="2"/>
        <v>27.050500000000003</v>
      </c>
      <c r="Y46">
        <v>13</v>
      </c>
      <c r="Z46" s="2" t="s">
        <v>66</v>
      </c>
    </row>
    <row r="47" spans="1:26" x14ac:dyDescent="0.25">
      <c r="A47">
        <v>1255</v>
      </c>
      <c r="B47">
        <v>1199</v>
      </c>
      <c r="C47" t="s">
        <v>22</v>
      </c>
      <c r="D47" t="s">
        <v>64</v>
      </c>
      <c r="E47" t="s">
        <v>24</v>
      </c>
      <c r="F47" t="s">
        <v>79</v>
      </c>
      <c r="G47" t="str">
        <f>VLOOKUP(F47,Hospitals!E:H,4,FALSE)</f>
        <v>28.03306 , 77.34966</v>
      </c>
      <c r="H47" s="1">
        <v>45979</v>
      </c>
      <c r="I47" s="1">
        <v>45979</v>
      </c>
      <c r="J47">
        <v>17.834</v>
      </c>
      <c r="K47">
        <v>16.568000000000001</v>
      </c>
      <c r="L47">
        <v>15.909000000000001</v>
      </c>
      <c r="M47">
        <v>29.411999999999999</v>
      </c>
      <c r="N47">
        <v>21.739000000000001</v>
      </c>
      <c r="O47">
        <v>21.739000000000001</v>
      </c>
      <c r="P47">
        <v>29.411999999999999</v>
      </c>
      <c r="Q47">
        <v>21.739000000000001</v>
      </c>
      <c r="R47">
        <v>21.739000000000001</v>
      </c>
      <c r="S47">
        <v>10</v>
      </c>
      <c r="T47">
        <v>8.3330000000000002</v>
      </c>
      <c r="U47">
        <v>0</v>
      </c>
      <c r="V47">
        <f t="shared" si="0"/>
        <v>21.664499999999997</v>
      </c>
      <c r="W47">
        <f t="shared" si="1"/>
        <v>17.094750000000001</v>
      </c>
      <c r="X47">
        <f t="shared" si="2"/>
        <v>14.84675</v>
      </c>
      <c r="Y47">
        <v>13</v>
      </c>
      <c r="Z47" s="2" t="s">
        <v>66</v>
      </c>
    </row>
    <row r="48" spans="1:26" x14ac:dyDescent="0.25">
      <c r="A48">
        <v>907</v>
      </c>
      <c r="B48">
        <v>12</v>
      </c>
      <c r="C48" t="s">
        <v>22</v>
      </c>
      <c r="D48" t="s">
        <v>23</v>
      </c>
      <c r="E48" t="s">
        <v>27</v>
      </c>
      <c r="F48" t="s">
        <v>80</v>
      </c>
      <c r="G48" t="str">
        <f>VLOOKUP(F48,Hospitals!E:H,4,FALSE)</f>
        <v>29.80577 , 76.40515</v>
      </c>
      <c r="H48" s="1">
        <v>45488</v>
      </c>
      <c r="I48" s="1">
        <v>45489</v>
      </c>
      <c r="J48">
        <v>59.872999999999998</v>
      </c>
      <c r="K48">
        <v>56.805</v>
      </c>
      <c r="L48">
        <v>54.545000000000002</v>
      </c>
      <c r="M48">
        <v>11.765000000000001</v>
      </c>
      <c r="N48">
        <v>8.6959999999999997</v>
      </c>
      <c r="O48">
        <v>8.6959999999999997</v>
      </c>
      <c r="P48">
        <v>11.765000000000001</v>
      </c>
      <c r="Q48">
        <v>8.6959999999999997</v>
      </c>
      <c r="R48">
        <v>8.6959999999999997</v>
      </c>
      <c r="S48">
        <v>0</v>
      </c>
      <c r="T48">
        <v>0</v>
      </c>
      <c r="U48">
        <v>0</v>
      </c>
      <c r="V48">
        <f t="shared" si="0"/>
        <v>20.850750000000001</v>
      </c>
      <c r="W48">
        <f t="shared" si="1"/>
        <v>18.549250000000001</v>
      </c>
      <c r="X48">
        <f t="shared" si="2"/>
        <v>17.984249999999999</v>
      </c>
      <c r="Y48">
        <v>13</v>
      </c>
      <c r="Z48" s="2" t="s">
        <v>26</v>
      </c>
    </row>
    <row r="49" spans="1:26" x14ac:dyDescent="0.25">
      <c r="A49">
        <v>902</v>
      </c>
      <c r="B49">
        <v>12</v>
      </c>
      <c r="C49" t="s">
        <v>22</v>
      </c>
      <c r="D49" t="s">
        <v>23</v>
      </c>
      <c r="E49" t="s">
        <v>27</v>
      </c>
      <c r="F49" t="s">
        <v>80</v>
      </c>
      <c r="G49" t="str">
        <f>VLOOKUP(F49,Hospitals!E:H,4,FALSE)</f>
        <v>29.80577 , 76.40515</v>
      </c>
      <c r="H49" s="1">
        <v>45488</v>
      </c>
      <c r="I49" s="1">
        <v>45489</v>
      </c>
      <c r="J49">
        <v>59.872999999999998</v>
      </c>
      <c r="K49">
        <v>56.805</v>
      </c>
      <c r="L49">
        <v>54.545000000000002</v>
      </c>
      <c r="M49">
        <v>11.765000000000001</v>
      </c>
      <c r="N49">
        <v>8.6959999999999997</v>
      </c>
      <c r="O49">
        <v>8.6959999999999997</v>
      </c>
      <c r="P49">
        <v>11.765000000000001</v>
      </c>
      <c r="Q49">
        <v>8.6959999999999997</v>
      </c>
      <c r="R49">
        <v>8.6959999999999997</v>
      </c>
      <c r="S49">
        <v>0</v>
      </c>
      <c r="T49">
        <v>0</v>
      </c>
      <c r="U49">
        <v>0</v>
      </c>
      <c r="V49">
        <f t="shared" si="0"/>
        <v>20.850750000000001</v>
      </c>
      <c r="W49">
        <f t="shared" si="1"/>
        <v>18.549250000000001</v>
      </c>
      <c r="X49">
        <f t="shared" si="2"/>
        <v>17.984249999999999</v>
      </c>
      <c r="Y49">
        <v>13</v>
      </c>
      <c r="Z49" s="2" t="s">
        <v>26</v>
      </c>
    </row>
    <row r="50" spans="1:26" x14ac:dyDescent="0.25">
      <c r="A50">
        <v>1038</v>
      </c>
      <c r="B50">
        <v>120</v>
      </c>
      <c r="C50" t="s">
        <v>22</v>
      </c>
      <c r="D50" t="s">
        <v>42</v>
      </c>
      <c r="E50" t="s">
        <v>27</v>
      </c>
      <c r="F50" t="s">
        <v>81</v>
      </c>
      <c r="G50" t="str">
        <f>VLOOKUP(F50,Hospitals!E:H,4,FALSE)</f>
        <v>29.33752 , 76.09388</v>
      </c>
      <c r="H50" s="1">
        <v>45749</v>
      </c>
      <c r="I50" s="1">
        <v>45749</v>
      </c>
      <c r="J50">
        <v>22.93</v>
      </c>
      <c r="K50">
        <v>21.302</v>
      </c>
      <c r="L50">
        <v>20.454999999999998</v>
      </c>
      <c r="M50">
        <v>11.765000000000001</v>
      </c>
      <c r="N50">
        <v>8.6959999999999997</v>
      </c>
      <c r="O50">
        <v>8.6959999999999997</v>
      </c>
      <c r="P50">
        <v>11.765000000000001</v>
      </c>
      <c r="Q50">
        <v>8.6959999999999997</v>
      </c>
      <c r="R50">
        <v>8.6959999999999997</v>
      </c>
      <c r="S50">
        <v>0</v>
      </c>
      <c r="T50">
        <v>0</v>
      </c>
      <c r="U50">
        <v>0</v>
      </c>
      <c r="V50">
        <f t="shared" si="0"/>
        <v>11.615</v>
      </c>
      <c r="W50">
        <f t="shared" si="1"/>
        <v>9.6734999999999989</v>
      </c>
      <c r="X50">
        <f t="shared" si="2"/>
        <v>9.4617499999999986</v>
      </c>
      <c r="Y50">
        <v>13</v>
      </c>
      <c r="Z50" s="2" t="s">
        <v>44</v>
      </c>
    </row>
    <row r="51" spans="1:26" x14ac:dyDescent="0.25">
      <c r="A51">
        <v>1169</v>
      </c>
      <c r="B51">
        <v>120</v>
      </c>
      <c r="C51" t="s">
        <v>22</v>
      </c>
      <c r="D51" t="s">
        <v>42</v>
      </c>
      <c r="E51" t="s">
        <v>27</v>
      </c>
      <c r="F51" t="s">
        <v>81</v>
      </c>
      <c r="G51" t="str">
        <f>VLOOKUP(F51,Hospitals!E:H,4,FALSE)</f>
        <v>29.33752 , 76.09388</v>
      </c>
      <c r="H51" s="1">
        <v>45749</v>
      </c>
      <c r="I51" t="s">
        <v>35</v>
      </c>
      <c r="J51">
        <v>22.93</v>
      </c>
      <c r="K51">
        <v>21.302</v>
      </c>
      <c r="L51">
        <v>20.454999999999998</v>
      </c>
      <c r="M51">
        <v>11.765000000000001</v>
      </c>
      <c r="N51">
        <v>8.6959999999999997</v>
      </c>
      <c r="O51">
        <v>8.6959999999999997</v>
      </c>
      <c r="P51">
        <v>11.765000000000001</v>
      </c>
      <c r="Q51">
        <v>8.6959999999999997</v>
      </c>
      <c r="R51">
        <v>8.6959999999999997</v>
      </c>
      <c r="S51">
        <v>0</v>
      </c>
      <c r="T51">
        <v>0</v>
      </c>
      <c r="U51">
        <v>0</v>
      </c>
      <c r="V51">
        <f t="shared" si="0"/>
        <v>11.615</v>
      </c>
      <c r="W51">
        <f t="shared" si="1"/>
        <v>9.6734999999999989</v>
      </c>
      <c r="X51">
        <f t="shared" si="2"/>
        <v>9.4617499999999986</v>
      </c>
      <c r="Y51">
        <v>13</v>
      </c>
      <c r="Z51" s="2" t="s">
        <v>44</v>
      </c>
    </row>
    <row r="52" spans="1:26" x14ac:dyDescent="0.25">
      <c r="A52">
        <v>1280</v>
      </c>
      <c r="B52">
        <v>1200</v>
      </c>
      <c r="C52" t="s">
        <v>22</v>
      </c>
      <c r="D52" t="s">
        <v>64</v>
      </c>
      <c r="E52" t="s">
        <v>24</v>
      </c>
      <c r="F52" t="s">
        <v>82</v>
      </c>
      <c r="G52" t="str">
        <f>VLOOKUP(F52,Hospitals!E:H,4,FALSE)</f>
        <v>28.36726 , 77.32593</v>
      </c>
      <c r="H52" s="1">
        <v>45980</v>
      </c>
      <c r="I52" s="1">
        <v>45980</v>
      </c>
      <c r="J52">
        <v>56.688000000000002</v>
      </c>
      <c r="K52">
        <v>52.662999999999997</v>
      </c>
      <c r="L52">
        <v>50.567999999999998</v>
      </c>
      <c r="M52">
        <v>29.411999999999999</v>
      </c>
      <c r="N52">
        <v>21.739000000000001</v>
      </c>
      <c r="O52">
        <v>21.739000000000001</v>
      </c>
      <c r="P52">
        <v>29.411999999999999</v>
      </c>
      <c r="Q52">
        <v>21.739000000000001</v>
      </c>
      <c r="R52">
        <v>21.739000000000001</v>
      </c>
      <c r="S52">
        <v>10</v>
      </c>
      <c r="T52">
        <v>8.3330000000000002</v>
      </c>
      <c r="U52">
        <v>0</v>
      </c>
      <c r="V52">
        <f t="shared" si="0"/>
        <v>31.378</v>
      </c>
      <c r="W52">
        <f t="shared" si="1"/>
        <v>26.118500000000001</v>
      </c>
      <c r="X52">
        <f t="shared" si="2"/>
        <v>23.511500000000002</v>
      </c>
      <c r="Y52">
        <v>13</v>
      </c>
      <c r="Z52" s="2" t="s">
        <v>66</v>
      </c>
    </row>
    <row r="53" spans="1:26" x14ac:dyDescent="0.25">
      <c r="A53">
        <v>1282</v>
      </c>
      <c r="B53">
        <v>1202</v>
      </c>
      <c r="C53" t="s">
        <v>22</v>
      </c>
      <c r="D53" t="s">
        <v>64</v>
      </c>
      <c r="E53" t="s">
        <v>24</v>
      </c>
      <c r="F53" t="s">
        <v>83</v>
      </c>
      <c r="G53" t="str">
        <f>VLOOKUP(F53,Hospitals!E:H,4,FALSE)</f>
        <v>27.91666 , 77.331</v>
      </c>
      <c r="H53" s="1">
        <v>45979</v>
      </c>
      <c r="I53" s="1">
        <v>45979</v>
      </c>
      <c r="J53">
        <v>30.573</v>
      </c>
      <c r="K53">
        <v>28.402000000000001</v>
      </c>
      <c r="L53">
        <v>27.273</v>
      </c>
      <c r="M53">
        <v>29.411999999999999</v>
      </c>
      <c r="N53">
        <v>21.739000000000001</v>
      </c>
      <c r="O53">
        <v>21.739000000000001</v>
      </c>
      <c r="P53">
        <v>29.411999999999999</v>
      </c>
      <c r="Q53">
        <v>21.739000000000001</v>
      </c>
      <c r="R53">
        <v>21.739000000000001</v>
      </c>
      <c r="S53">
        <v>0</v>
      </c>
      <c r="T53">
        <v>0</v>
      </c>
      <c r="U53">
        <v>0</v>
      </c>
      <c r="V53">
        <f t="shared" si="0"/>
        <v>22.349249999999998</v>
      </c>
      <c r="W53">
        <f t="shared" si="1"/>
        <v>17.970000000000002</v>
      </c>
      <c r="X53">
        <f t="shared" si="2"/>
        <v>17.687750000000001</v>
      </c>
      <c r="Y53">
        <v>13</v>
      </c>
      <c r="Z53" s="2" t="s">
        <v>66</v>
      </c>
    </row>
    <row r="54" spans="1:26" x14ac:dyDescent="0.25">
      <c r="A54">
        <v>1253</v>
      </c>
      <c r="B54">
        <v>1203</v>
      </c>
      <c r="C54" t="s">
        <v>22</v>
      </c>
      <c r="D54" t="s">
        <v>64</v>
      </c>
      <c r="E54" t="s">
        <v>24</v>
      </c>
      <c r="F54" t="s">
        <v>84</v>
      </c>
      <c r="G54" t="str">
        <f>VLOOKUP(F54,Hospitals!E:H,4,FALSE)</f>
        <v>28.35415 , 77.32593</v>
      </c>
      <c r="H54" s="1">
        <v>45957</v>
      </c>
      <c r="I54" s="1">
        <v>45957</v>
      </c>
      <c r="J54">
        <v>18.471</v>
      </c>
      <c r="K54">
        <v>17.751000000000001</v>
      </c>
      <c r="L54">
        <v>17.045000000000002</v>
      </c>
      <c r="M54">
        <v>29.411999999999999</v>
      </c>
      <c r="N54">
        <v>21.739000000000001</v>
      </c>
      <c r="O54">
        <v>21.739000000000001</v>
      </c>
      <c r="P54">
        <v>29.411999999999999</v>
      </c>
      <c r="Q54">
        <v>21.739000000000001</v>
      </c>
      <c r="R54">
        <v>21.739000000000001</v>
      </c>
      <c r="S54">
        <v>0</v>
      </c>
      <c r="T54">
        <v>0</v>
      </c>
      <c r="U54">
        <v>0</v>
      </c>
      <c r="V54">
        <f t="shared" si="0"/>
        <v>19.323749999999997</v>
      </c>
      <c r="W54">
        <f t="shared" si="1"/>
        <v>15.30725</v>
      </c>
      <c r="X54">
        <f t="shared" si="2"/>
        <v>15.130750000000003</v>
      </c>
      <c r="Y54">
        <v>13</v>
      </c>
      <c r="Z54" s="2" t="s">
        <v>66</v>
      </c>
    </row>
    <row r="55" spans="1:26" x14ac:dyDescent="0.25">
      <c r="A55">
        <v>1259</v>
      </c>
      <c r="B55">
        <v>1204</v>
      </c>
      <c r="C55" t="s">
        <v>22</v>
      </c>
      <c r="D55" t="s">
        <v>64</v>
      </c>
      <c r="E55" t="s">
        <v>27</v>
      </c>
      <c r="F55" t="s">
        <v>85</v>
      </c>
      <c r="G55" t="str">
        <f>VLOOKUP(F55,Hospitals!E:H,4,FALSE)</f>
        <v>28.15565 , 77.31233</v>
      </c>
      <c r="H55" s="1">
        <v>45981</v>
      </c>
      <c r="I55" s="1">
        <v>45981</v>
      </c>
      <c r="J55">
        <v>7.6429999999999998</v>
      </c>
      <c r="K55">
        <v>7.101</v>
      </c>
      <c r="L55">
        <v>6.8179999999999996</v>
      </c>
      <c r="M55">
        <v>17.646999999999998</v>
      </c>
      <c r="N55">
        <v>13.042999999999999</v>
      </c>
      <c r="O55">
        <v>13.042999999999999</v>
      </c>
      <c r="P55">
        <v>17.646999999999998</v>
      </c>
      <c r="Q55">
        <v>13.042999999999999</v>
      </c>
      <c r="R55">
        <v>13.042999999999999</v>
      </c>
      <c r="S55">
        <v>0</v>
      </c>
      <c r="T55">
        <v>0</v>
      </c>
      <c r="U55">
        <v>0</v>
      </c>
      <c r="V55">
        <f t="shared" si="0"/>
        <v>10.734249999999999</v>
      </c>
      <c r="W55">
        <f t="shared" si="1"/>
        <v>8.2967499999999994</v>
      </c>
      <c r="X55">
        <f t="shared" si="2"/>
        <v>8.2259999999999991</v>
      </c>
      <c r="Y55">
        <v>13</v>
      </c>
      <c r="Z55" s="2" t="s">
        <v>66</v>
      </c>
    </row>
    <row r="56" spans="1:26" x14ac:dyDescent="0.25">
      <c r="A56">
        <v>1271</v>
      </c>
      <c r="B56">
        <v>1205</v>
      </c>
      <c r="C56" t="s">
        <v>22</v>
      </c>
      <c r="D56" t="s">
        <v>64</v>
      </c>
      <c r="E56" t="s">
        <v>27</v>
      </c>
      <c r="F56" t="s">
        <v>86</v>
      </c>
      <c r="G56" t="str">
        <f>VLOOKUP(F56,Hospitals!E:H,4,FALSE)</f>
        <v>28.13259 , 77.1765</v>
      </c>
      <c r="H56" s="1">
        <v>45988</v>
      </c>
      <c r="I56" s="1">
        <v>45988</v>
      </c>
      <c r="J56">
        <v>5.0960000000000001</v>
      </c>
      <c r="K56">
        <v>5.3250000000000002</v>
      </c>
      <c r="L56">
        <v>5.1139999999999999</v>
      </c>
      <c r="M56">
        <v>5.8819999999999997</v>
      </c>
      <c r="N56">
        <v>4.3479999999999999</v>
      </c>
      <c r="O56">
        <v>4.3479999999999999</v>
      </c>
      <c r="P56">
        <v>5.8819999999999997</v>
      </c>
      <c r="Q56">
        <v>4.3479999999999999</v>
      </c>
      <c r="R56">
        <v>4.3479999999999999</v>
      </c>
      <c r="S56">
        <v>0</v>
      </c>
      <c r="T56">
        <v>0</v>
      </c>
      <c r="U56">
        <v>0</v>
      </c>
      <c r="V56">
        <f t="shared" si="0"/>
        <v>4.2149999999999999</v>
      </c>
      <c r="W56">
        <f t="shared" si="1"/>
        <v>3.5052500000000002</v>
      </c>
      <c r="X56">
        <f t="shared" si="2"/>
        <v>3.4524999999999997</v>
      </c>
      <c r="Y56">
        <v>13</v>
      </c>
      <c r="Z56" s="2" t="s">
        <v>66</v>
      </c>
    </row>
    <row r="57" spans="1:26" x14ac:dyDescent="0.25">
      <c r="A57">
        <v>1286</v>
      </c>
      <c r="B57">
        <v>1208</v>
      </c>
      <c r="C57" t="s">
        <v>22</v>
      </c>
      <c r="D57" t="s">
        <v>64</v>
      </c>
      <c r="E57" t="s">
        <v>24</v>
      </c>
      <c r="F57" t="s">
        <v>87</v>
      </c>
      <c r="G57" t="str">
        <f>VLOOKUP(F57,Hospitals!E:H,4,FALSE)</f>
        <v>28.00764 , 77.22254</v>
      </c>
      <c r="H57" s="1">
        <v>45988</v>
      </c>
      <c r="I57" s="1">
        <v>45988</v>
      </c>
      <c r="J57">
        <v>19.108000000000001</v>
      </c>
      <c r="K57">
        <v>18.934999999999999</v>
      </c>
      <c r="L57">
        <v>18.181999999999999</v>
      </c>
      <c r="M57">
        <v>35.293999999999997</v>
      </c>
      <c r="N57">
        <v>26.087</v>
      </c>
      <c r="O57">
        <v>26.087</v>
      </c>
      <c r="P57">
        <v>35.293999999999997</v>
      </c>
      <c r="Q57">
        <v>26.087</v>
      </c>
      <c r="R57">
        <v>26.087</v>
      </c>
      <c r="S57">
        <v>0</v>
      </c>
      <c r="T57">
        <v>0</v>
      </c>
      <c r="U57">
        <v>0</v>
      </c>
      <c r="V57">
        <f t="shared" si="0"/>
        <v>22.423999999999999</v>
      </c>
      <c r="W57">
        <f t="shared" si="1"/>
        <v>17.777249999999999</v>
      </c>
      <c r="X57">
        <f t="shared" si="2"/>
        <v>17.588999999999999</v>
      </c>
      <c r="Y57">
        <v>13</v>
      </c>
      <c r="Z57" s="2" t="s">
        <v>66</v>
      </c>
    </row>
    <row r="58" spans="1:26" x14ac:dyDescent="0.25">
      <c r="A58">
        <v>1285</v>
      </c>
      <c r="B58">
        <v>1209</v>
      </c>
      <c r="C58" t="s">
        <v>22</v>
      </c>
      <c r="D58" t="s">
        <v>64</v>
      </c>
      <c r="E58" t="s">
        <v>27</v>
      </c>
      <c r="F58" t="s">
        <v>88</v>
      </c>
      <c r="G58" t="str">
        <f>VLOOKUP(F58,Hospitals!E:H,4,FALSE)</f>
        <v>28.15565 , 77.31233</v>
      </c>
      <c r="H58" s="1">
        <v>45981</v>
      </c>
      <c r="I58" s="1">
        <v>45981</v>
      </c>
      <c r="J58">
        <v>10.191000000000001</v>
      </c>
      <c r="K58">
        <v>9.4670000000000005</v>
      </c>
      <c r="L58">
        <v>9.0909999999999993</v>
      </c>
      <c r="M58">
        <v>11.765000000000001</v>
      </c>
      <c r="N58">
        <v>8.6959999999999997</v>
      </c>
      <c r="O58">
        <v>8.6959999999999997</v>
      </c>
      <c r="P58">
        <v>11.765000000000001</v>
      </c>
      <c r="Q58">
        <v>8.6959999999999997</v>
      </c>
      <c r="R58">
        <v>8.6959999999999997</v>
      </c>
      <c r="S58">
        <v>0</v>
      </c>
      <c r="T58">
        <v>0</v>
      </c>
      <c r="U58">
        <v>0</v>
      </c>
      <c r="V58">
        <f t="shared" si="0"/>
        <v>8.4302500000000009</v>
      </c>
      <c r="W58">
        <f t="shared" si="1"/>
        <v>6.7147500000000004</v>
      </c>
      <c r="X58">
        <f t="shared" si="2"/>
        <v>6.6207499999999992</v>
      </c>
      <c r="Y58">
        <v>13</v>
      </c>
      <c r="Z58" s="2" t="s">
        <v>66</v>
      </c>
    </row>
    <row r="59" spans="1:26" x14ac:dyDescent="0.25">
      <c r="A59">
        <v>832</v>
      </c>
      <c r="B59">
        <v>121</v>
      </c>
      <c r="C59" t="s">
        <v>22</v>
      </c>
      <c r="D59" t="s">
        <v>42</v>
      </c>
      <c r="E59" t="s">
        <v>27</v>
      </c>
      <c r="F59" t="s">
        <v>89</v>
      </c>
      <c r="G59" t="str">
        <f>VLOOKUP(F59,Hospitals!E:H,4,FALSE)</f>
        <v>28.99308 , 77.01507</v>
      </c>
      <c r="H59" s="1">
        <v>45554</v>
      </c>
      <c r="I59" s="1">
        <v>45554</v>
      </c>
      <c r="J59">
        <v>7.0060000000000002</v>
      </c>
      <c r="K59">
        <v>6.5090000000000003</v>
      </c>
      <c r="L59">
        <v>6.25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10</v>
      </c>
      <c r="T59">
        <v>8.3330000000000002</v>
      </c>
      <c r="U59">
        <v>0</v>
      </c>
      <c r="V59">
        <f t="shared" si="0"/>
        <v>4.2515000000000001</v>
      </c>
      <c r="W59">
        <f t="shared" si="1"/>
        <v>3.7105000000000001</v>
      </c>
      <c r="X59">
        <f t="shared" si="2"/>
        <v>1.5625</v>
      </c>
      <c r="Y59">
        <v>13</v>
      </c>
      <c r="Z59" s="2" t="s">
        <v>44</v>
      </c>
    </row>
    <row r="60" spans="1:26" x14ac:dyDescent="0.25">
      <c r="A60">
        <v>1283</v>
      </c>
      <c r="B60">
        <v>1210</v>
      </c>
      <c r="C60" t="s">
        <v>22</v>
      </c>
      <c r="D60" t="s">
        <v>64</v>
      </c>
      <c r="E60" t="s">
        <v>27</v>
      </c>
      <c r="F60" t="s">
        <v>90</v>
      </c>
      <c r="G60" t="str">
        <f>VLOOKUP(F60,Hospitals!E:H,4,FALSE)</f>
        <v>27.97015 , 77.4931</v>
      </c>
      <c r="H60" s="1">
        <v>45987</v>
      </c>
      <c r="I60" s="1">
        <v>45988</v>
      </c>
      <c r="J60">
        <v>20.382000000000001</v>
      </c>
      <c r="K60">
        <v>18.934999999999999</v>
      </c>
      <c r="L60">
        <v>18.181999999999999</v>
      </c>
      <c r="M60">
        <v>17.646999999999998</v>
      </c>
      <c r="N60">
        <v>13.042999999999999</v>
      </c>
      <c r="O60">
        <v>13.042999999999999</v>
      </c>
      <c r="P60">
        <v>17.646999999999998</v>
      </c>
      <c r="Q60">
        <v>13.042999999999999</v>
      </c>
      <c r="R60">
        <v>13.042999999999999</v>
      </c>
      <c r="S60">
        <v>10</v>
      </c>
      <c r="T60">
        <v>8.3330000000000002</v>
      </c>
      <c r="U60">
        <v>0</v>
      </c>
      <c r="V60">
        <f t="shared" si="0"/>
        <v>16.418999999999997</v>
      </c>
      <c r="W60">
        <f t="shared" si="1"/>
        <v>13.3385</v>
      </c>
      <c r="X60">
        <f t="shared" si="2"/>
        <v>11.067</v>
      </c>
      <c r="Y60">
        <v>13</v>
      </c>
      <c r="Z60" s="2" t="s">
        <v>66</v>
      </c>
    </row>
    <row r="61" spans="1:26" x14ac:dyDescent="0.25">
      <c r="A61">
        <v>1260</v>
      </c>
      <c r="B61">
        <v>1211</v>
      </c>
      <c r="C61" t="s">
        <v>22</v>
      </c>
      <c r="D61" t="s">
        <v>64</v>
      </c>
      <c r="E61" t="s">
        <v>27</v>
      </c>
      <c r="F61" t="s">
        <v>91</v>
      </c>
      <c r="G61" t="str">
        <f>VLOOKUP(F61,Hospitals!E:H,4,FALSE)</f>
        <v>28.34092 , 77.31635</v>
      </c>
      <c r="H61" s="1">
        <v>45959</v>
      </c>
      <c r="I61" s="1">
        <v>45960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f t="shared" si="0"/>
        <v>0</v>
      </c>
      <c r="W61">
        <f t="shared" si="1"/>
        <v>0</v>
      </c>
      <c r="X61">
        <f t="shared" si="2"/>
        <v>0</v>
      </c>
      <c r="Y61">
        <v>13</v>
      </c>
      <c r="Z61" s="2" t="s">
        <v>66</v>
      </c>
    </row>
    <row r="62" spans="1:26" x14ac:dyDescent="0.25">
      <c r="A62">
        <v>1274</v>
      </c>
      <c r="B62">
        <v>1212</v>
      </c>
      <c r="C62" t="s">
        <v>22</v>
      </c>
      <c r="D62" t="s">
        <v>64</v>
      </c>
      <c r="E62" t="s">
        <v>27</v>
      </c>
      <c r="F62" t="s">
        <v>92</v>
      </c>
      <c r="G62" t="str">
        <f>VLOOKUP(F62,Hospitals!E:H,4,FALSE)</f>
        <v>28.99308 , 77.01507</v>
      </c>
      <c r="H62" s="1">
        <v>45964</v>
      </c>
      <c r="I62" s="1">
        <v>45964</v>
      </c>
      <c r="J62">
        <v>0.63700000000000001</v>
      </c>
      <c r="K62">
        <v>0.59199999999999997</v>
      </c>
      <c r="L62">
        <v>0.56799999999999995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f t="shared" si="0"/>
        <v>0.15925</v>
      </c>
      <c r="W62">
        <f t="shared" si="1"/>
        <v>0.14799999999999999</v>
      </c>
      <c r="X62">
        <f t="shared" si="2"/>
        <v>0.14199999999999999</v>
      </c>
      <c r="Y62">
        <v>13</v>
      </c>
      <c r="Z62" s="2" t="s">
        <v>66</v>
      </c>
    </row>
    <row r="63" spans="1:26" x14ac:dyDescent="0.25">
      <c r="A63">
        <v>1289</v>
      </c>
      <c r="B63">
        <v>1212</v>
      </c>
      <c r="C63" t="s">
        <v>22</v>
      </c>
      <c r="D63" t="s">
        <v>64</v>
      </c>
      <c r="E63" t="s">
        <v>27</v>
      </c>
      <c r="F63" t="s">
        <v>92</v>
      </c>
      <c r="G63" t="str">
        <f>VLOOKUP(F63,Hospitals!E:H,4,FALSE)</f>
        <v>28.99308 , 77.01507</v>
      </c>
      <c r="H63" s="1">
        <v>45980</v>
      </c>
      <c r="I63" s="1">
        <v>45981</v>
      </c>
      <c r="J63">
        <v>0.63700000000000001</v>
      </c>
      <c r="K63">
        <v>0.59199999999999997</v>
      </c>
      <c r="L63">
        <v>0.56799999999999995</v>
      </c>
      <c r="M63">
        <v>23.529</v>
      </c>
      <c r="N63">
        <v>17.390999999999998</v>
      </c>
      <c r="O63">
        <v>17.390999999999998</v>
      </c>
      <c r="P63">
        <v>23.529</v>
      </c>
      <c r="Q63">
        <v>17.390999999999998</v>
      </c>
      <c r="R63">
        <v>17.390999999999998</v>
      </c>
      <c r="S63">
        <v>0</v>
      </c>
      <c r="T63">
        <v>0</v>
      </c>
      <c r="U63">
        <v>0</v>
      </c>
      <c r="V63">
        <f t="shared" si="0"/>
        <v>11.92375</v>
      </c>
      <c r="W63">
        <f t="shared" si="1"/>
        <v>8.8434999999999988</v>
      </c>
      <c r="X63">
        <f t="shared" si="2"/>
        <v>8.8374999999999986</v>
      </c>
      <c r="Y63">
        <v>13</v>
      </c>
      <c r="Z63" s="2" t="s">
        <v>66</v>
      </c>
    </row>
    <row r="64" spans="1:26" x14ac:dyDescent="0.25">
      <c r="A64">
        <v>1277</v>
      </c>
      <c r="B64">
        <v>1213</v>
      </c>
      <c r="C64" t="s">
        <v>22</v>
      </c>
      <c r="D64" t="s">
        <v>64</v>
      </c>
      <c r="E64" t="s">
        <v>27</v>
      </c>
      <c r="F64" t="s">
        <v>93</v>
      </c>
      <c r="G64" t="str">
        <f>VLOOKUP(F64,Hospitals!E:H,4,FALSE)</f>
        <v>28.17393 , 77.43734</v>
      </c>
      <c r="H64" s="1">
        <v>45986</v>
      </c>
      <c r="I64" s="1">
        <v>45986</v>
      </c>
      <c r="J64">
        <v>21.655999999999999</v>
      </c>
      <c r="K64">
        <v>20.117999999999999</v>
      </c>
      <c r="L64">
        <v>19.318000000000001</v>
      </c>
      <c r="M64">
        <v>17.646999999999998</v>
      </c>
      <c r="N64">
        <v>13.042999999999999</v>
      </c>
      <c r="O64">
        <v>13.042999999999999</v>
      </c>
      <c r="P64">
        <v>17.646999999999998</v>
      </c>
      <c r="Q64">
        <v>13.042999999999999</v>
      </c>
      <c r="R64">
        <v>13.042999999999999</v>
      </c>
      <c r="S64">
        <v>0</v>
      </c>
      <c r="T64">
        <v>0</v>
      </c>
      <c r="U64">
        <v>0</v>
      </c>
      <c r="V64">
        <f t="shared" si="0"/>
        <v>14.237499999999999</v>
      </c>
      <c r="W64">
        <f t="shared" si="1"/>
        <v>11.551</v>
      </c>
      <c r="X64">
        <f t="shared" si="2"/>
        <v>11.351000000000001</v>
      </c>
      <c r="Y64">
        <v>13</v>
      </c>
      <c r="Z64" s="2" t="s">
        <v>66</v>
      </c>
    </row>
    <row r="65" spans="1:26" x14ac:dyDescent="0.25">
      <c r="A65">
        <v>1287</v>
      </c>
      <c r="B65">
        <v>1214</v>
      </c>
      <c r="C65" t="s">
        <v>22</v>
      </c>
      <c r="D65" t="s">
        <v>64</v>
      </c>
      <c r="E65" t="s">
        <v>27</v>
      </c>
      <c r="F65" t="s">
        <v>94</v>
      </c>
      <c r="G65" t="str">
        <f>VLOOKUP(F65,Hospitals!E:H,4,FALSE)</f>
        <v>28.13614 , 77.32702</v>
      </c>
      <c r="H65" s="1">
        <v>45973</v>
      </c>
      <c r="I65" s="1">
        <v>45981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f t="shared" si="0"/>
        <v>0</v>
      </c>
      <c r="W65">
        <f t="shared" si="1"/>
        <v>0</v>
      </c>
      <c r="X65">
        <f t="shared" si="2"/>
        <v>0</v>
      </c>
      <c r="Y65">
        <v>13</v>
      </c>
      <c r="Z65" s="2" t="s">
        <v>66</v>
      </c>
    </row>
    <row r="66" spans="1:26" x14ac:dyDescent="0.25">
      <c r="A66">
        <v>1251</v>
      </c>
      <c r="B66">
        <v>1214</v>
      </c>
      <c r="C66" t="s">
        <v>22</v>
      </c>
      <c r="D66" t="s">
        <v>64</v>
      </c>
      <c r="E66" t="s">
        <v>27</v>
      </c>
      <c r="F66" t="s">
        <v>94</v>
      </c>
      <c r="G66" t="str">
        <f>VLOOKUP(F66,Hospitals!E:H,4,FALSE)</f>
        <v>28.13614 , 77.32702</v>
      </c>
      <c r="H66" s="1">
        <v>45964</v>
      </c>
      <c r="I66" s="1">
        <v>45964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f t="shared" si="0"/>
        <v>0</v>
      </c>
      <c r="W66">
        <f t="shared" si="1"/>
        <v>0</v>
      </c>
      <c r="X66">
        <f t="shared" si="2"/>
        <v>0</v>
      </c>
      <c r="Y66">
        <v>13</v>
      </c>
      <c r="Z66" s="2" t="s">
        <v>66</v>
      </c>
    </row>
    <row r="67" spans="1:26" x14ac:dyDescent="0.25">
      <c r="A67">
        <v>1293</v>
      </c>
      <c r="B67">
        <v>1214</v>
      </c>
      <c r="C67" t="s">
        <v>22</v>
      </c>
      <c r="D67" t="s">
        <v>64</v>
      </c>
      <c r="E67" t="s">
        <v>27</v>
      </c>
      <c r="F67" t="s">
        <v>94</v>
      </c>
      <c r="G67" t="str">
        <f>VLOOKUP(F67,Hospitals!E:H,4,FALSE)</f>
        <v>28.13614 , 77.32702</v>
      </c>
      <c r="H67" s="1">
        <v>45989</v>
      </c>
      <c r="I67" s="1">
        <v>45989</v>
      </c>
      <c r="J67">
        <v>14.013</v>
      </c>
      <c r="K67">
        <v>13.018000000000001</v>
      </c>
      <c r="L67">
        <v>12.5</v>
      </c>
      <c r="M67">
        <v>29.411999999999999</v>
      </c>
      <c r="N67">
        <v>21.739000000000001</v>
      </c>
      <c r="O67">
        <v>21.739000000000001</v>
      </c>
      <c r="P67">
        <v>29.411999999999999</v>
      </c>
      <c r="Q67">
        <v>21.739000000000001</v>
      </c>
      <c r="R67">
        <v>21.739000000000001</v>
      </c>
      <c r="S67">
        <v>0</v>
      </c>
      <c r="T67">
        <v>0</v>
      </c>
      <c r="U67">
        <v>0</v>
      </c>
      <c r="V67">
        <f t="shared" ref="V67:V130" si="3">AVERAGE(J67,M67,P67,S67)</f>
        <v>18.209249999999997</v>
      </c>
      <c r="W67">
        <f t="shared" ref="W67:W130" si="4">AVERAGE(K67,N67,Q67,T67)</f>
        <v>14.124000000000002</v>
      </c>
      <c r="X67">
        <f t="shared" ref="X67:X130" si="5">AVERAGE(L67,O67,R67,U67)</f>
        <v>13.994500000000002</v>
      </c>
      <c r="Y67">
        <v>13</v>
      </c>
      <c r="Z67" s="2" t="s">
        <v>66</v>
      </c>
    </row>
    <row r="68" spans="1:26" x14ac:dyDescent="0.25">
      <c r="A68">
        <v>1252</v>
      </c>
      <c r="B68">
        <v>1215</v>
      </c>
      <c r="C68" t="s">
        <v>22</v>
      </c>
      <c r="D68" t="s">
        <v>64</v>
      </c>
      <c r="E68" t="s">
        <v>27</v>
      </c>
      <c r="F68" t="s">
        <v>95</v>
      </c>
      <c r="G68" t="str">
        <f>VLOOKUP(F68,Hospitals!E:H,4,FALSE)</f>
        <v>28.07502 , 77.27435</v>
      </c>
      <c r="H68" s="1">
        <v>45982</v>
      </c>
      <c r="I68" s="1">
        <v>45988</v>
      </c>
      <c r="J68">
        <v>24.204000000000001</v>
      </c>
      <c r="K68">
        <v>23.077000000000002</v>
      </c>
      <c r="L68">
        <v>22.158999999999999</v>
      </c>
      <c r="M68">
        <v>29.411999999999999</v>
      </c>
      <c r="N68">
        <v>21.739000000000001</v>
      </c>
      <c r="O68">
        <v>21.739000000000001</v>
      </c>
      <c r="P68">
        <v>29.411999999999999</v>
      </c>
      <c r="Q68">
        <v>21.739000000000001</v>
      </c>
      <c r="R68">
        <v>21.739000000000001</v>
      </c>
      <c r="S68">
        <v>0</v>
      </c>
      <c r="T68">
        <v>0</v>
      </c>
      <c r="U68">
        <v>0</v>
      </c>
      <c r="V68">
        <f t="shared" si="3"/>
        <v>20.756999999999998</v>
      </c>
      <c r="W68">
        <f t="shared" si="4"/>
        <v>16.638750000000002</v>
      </c>
      <c r="X68">
        <f t="shared" si="5"/>
        <v>16.40925</v>
      </c>
      <c r="Y68">
        <v>13</v>
      </c>
      <c r="Z68" s="2" t="s">
        <v>66</v>
      </c>
    </row>
    <row r="69" spans="1:26" x14ac:dyDescent="0.25">
      <c r="A69">
        <v>1270</v>
      </c>
      <c r="B69">
        <v>1216</v>
      </c>
      <c r="C69" t="s">
        <v>22</v>
      </c>
      <c r="D69" t="s">
        <v>64</v>
      </c>
      <c r="E69" t="s">
        <v>27</v>
      </c>
      <c r="F69" t="s">
        <v>96</v>
      </c>
      <c r="G69" t="str">
        <f>VLOOKUP(F69,Hospitals!E:H,4,FALSE)</f>
        <v>30.3752 , 76.78212</v>
      </c>
      <c r="H69" s="1">
        <v>45987</v>
      </c>
      <c r="I69" s="1">
        <v>45987</v>
      </c>
      <c r="J69">
        <v>3.1850000000000001</v>
      </c>
      <c r="K69">
        <v>2.9590000000000001</v>
      </c>
      <c r="L69">
        <v>2.8410000000000002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f t="shared" si="3"/>
        <v>0.79625000000000001</v>
      </c>
      <c r="W69">
        <f t="shared" si="4"/>
        <v>0.73975000000000002</v>
      </c>
      <c r="X69">
        <f t="shared" si="5"/>
        <v>0.71025000000000005</v>
      </c>
      <c r="Y69">
        <v>13</v>
      </c>
      <c r="Z69" s="2" t="s">
        <v>66</v>
      </c>
    </row>
    <row r="70" spans="1:26" x14ac:dyDescent="0.25">
      <c r="A70">
        <v>1256</v>
      </c>
      <c r="B70">
        <v>1217</v>
      </c>
      <c r="C70" t="s">
        <v>22</v>
      </c>
      <c r="D70" t="s">
        <v>64</v>
      </c>
      <c r="E70" t="s">
        <v>27</v>
      </c>
      <c r="F70" t="s">
        <v>97</v>
      </c>
      <c r="G70" t="str">
        <f>VLOOKUP(F70,Hospitals!E:H,4,FALSE)</f>
        <v>30.15119 , 77.29208</v>
      </c>
      <c r="H70" s="1">
        <v>45987</v>
      </c>
      <c r="I70" s="1">
        <v>45987</v>
      </c>
      <c r="J70">
        <v>3.1850000000000001</v>
      </c>
      <c r="K70">
        <v>2.9590000000000001</v>
      </c>
      <c r="L70">
        <v>2.8410000000000002</v>
      </c>
      <c r="M70">
        <v>17.646999999999998</v>
      </c>
      <c r="N70">
        <v>13.042999999999999</v>
      </c>
      <c r="O70">
        <v>13.042999999999999</v>
      </c>
      <c r="P70">
        <v>17.646999999999998</v>
      </c>
      <c r="Q70">
        <v>13.042999999999999</v>
      </c>
      <c r="R70">
        <v>13.042999999999999</v>
      </c>
      <c r="S70">
        <v>0</v>
      </c>
      <c r="T70">
        <v>0</v>
      </c>
      <c r="U70">
        <v>0</v>
      </c>
      <c r="V70">
        <f t="shared" si="3"/>
        <v>9.6197499999999998</v>
      </c>
      <c r="W70">
        <f t="shared" si="4"/>
        <v>7.2612499999999995</v>
      </c>
      <c r="X70">
        <f t="shared" si="5"/>
        <v>7.2317499999999999</v>
      </c>
      <c r="Y70">
        <v>13</v>
      </c>
      <c r="Z70" s="2" t="s">
        <v>66</v>
      </c>
    </row>
    <row r="71" spans="1:26" x14ac:dyDescent="0.25">
      <c r="A71">
        <v>1284</v>
      </c>
      <c r="B71">
        <v>1218</v>
      </c>
      <c r="C71" t="s">
        <v>22</v>
      </c>
      <c r="D71" t="s">
        <v>64</v>
      </c>
      <c r="E71" t="s">
        <v>24</v>
      </c>
      <c r="F71" t="s">
        <v>98</v>
      </c>
      <c r="G71" t="str">
        <f>VLOOKUP(F71,Hospitals!E:H,4,FALSE)</f>
        <v>28.39347 , 77.33248</v>
      </c>
      <c r="H71" s="1">
        <v>45985</v>
      </c>
      <c r="I71" s="1">
        <v>45985</v>
      </c>
      <c r="J71">
        <v>0</v>
      </c>
      <c r="K71">
        <v>0</v>
      </c>
      <c r="L71">
        <v>0</v>
      </c>
      <c r="M71">
        <v>23.529</v>
      </c>
      <c r="N71">
        <v>17.390999999999998</v>
      </c>
      <c r="O71">
        <v>17.390999999999998</v>
      </c>
      <c r="P71">
        <v>23.529</v>
      </c>
      <c r="Q71">
        <v>17.390999999999998</v>
      </c>
      <c r="R71">
        <v>17.390999999999998</v>
      </c>
      <c r="S71">
        <v>0</v>
      </c>
      <c r="T71">
        <v>0</v>
      </c>
      <c r="U71">
        <v>0</v>
      </c>
      <c r="V71">
        <f t="shared" si="3"/>
        <v>11.7645</v>
      </c>
      <c r="W71">
        <f t="shared" si="4"/>
        <v>8.6954999999999991</v>
      </c>
      <c r="X71">
        <f t="shared" si="5"/>
        <v>8.6954999999999991</v>
      </c>
      <c r="Y71">
        <v>13</v>
      </c>
      <c r="Z71" s="2" t="s">
        <v>66</v>
      </c>
    </row>
    <row r="72" spans="1:26" x14ac:dyDescent="0.25">
      <c r="A72">
        <v>1268</v>
      </c>
      <c r="B72">
        <v>1219</v>
      </c>
      <c r="C72" t="s">
        <v>22</v>
      </c>
      <c r="D72" t="s">
        <v>64</v>
      </c>
      <c r="E72" t="s">
        <v>27</v>
      </c>
      <c r="F72" t="s">
        <v>99</v>
      </c>
      <c r="G72" t="str">
        <f>VLOOKUP(F72,Hospitals!E:H,4,FALSE)</f>
        <v>28.1352 , 77.3264</v>
      </c>
      <c r="H72" s="1">
        <v>45988</v>
      </c>
      <c r="I72" s="1">
        <v>45988</v>
      </c>
      <c r="J72">
        <v>0.63700000000000001</v>
      </c>
      <c r="K72">
        <v>0.59199999999999997</v>
      </c>
      <c r="L72">
        <v>0.56799999999999995</v>
      </c>
      <c r="M72">
        <v>29.411999999999999</v>
      </c>
      <c r="N72">
        <v>21.739000000000001</v>
      </c>
      <c r="O72">
        <v>21.739000000000001</v>
      </c>
      <c r="P72">
        <v>29.411999999999999</v>
      </c>
      <c r="Q72">
        <v>21.739000000000001</v>
      </c>
      <c r="R72">
        <v>21.739000000000001</v>
      </c>
      <c r="S72">
        <v>0</v>
      </c>
      <c r="T72">
        <v>0</v>
      </c>
      <c r="U72">
        <v>0</v>
      </c>
      <c r="V72">
        <f t="shared" si="3"/>
        <v>14.86525</v>
      </c>
      <c r="W72">
        <f t="shared" si="4"/>
        <v>11.0175</v>
      </c>
      <c r="X72">
        <f t="shared" si="5"/>
        <v>11.011500000000002</v>
      </c>
      <c r="Y72">
        <v>13</v>
      </c>
      <c r="Z72" s="2" t="s">
        <v>66</v>
      </c>
    </row>
    <row r="73" spans="1:26" x14ac:dyDescent="0.25">
      <c r="A73">
        <v>967</v>
      </c>
      <c r="B73">
        <v>122</v>
      </c>
      <c r="C73" t="s">
        <v>22</v>
      </c>
      <c r="D73" t="s">
        <v>42</v>
      </c>
      <c r="E73" t="s">
        <v>27</v>
      </c>
      <c r="F73" t="s">
        <v>100</v>
      </c>
      <c r="G73" t="str">
        <f>VLOOKUP(F73,Hospitals!E:H,4,FALSE)</f>
        <v>28.90345 , 76.57194</v>
      </c>
      <c r="H73" s="1">
        <v>45524</v>
      </c>
      <c r="I73" s="1">
        <v>45524</v>
      </c>
      <c r="J73">
        <v>44.585999999999999</v>
      </c>
      <c r="K73">
        <v>41.42</v>
      </c>
      <c r="L73">
        <v>39.773000000000003</v>
      </c>
      <c r="M73">
        <v>23.529</v>
      </c>
      <c r="N73">
        <v>17.390999999999998</v>
      </c>
      <c r="O73">
        <v>17.390999999999998</v>
      </c>
      <c r="P73">
        <v>23.529</v>
      </c>
      <c r="Q73">
        <v>17.390999999999998</v>
      </c>
      <c r="R73">
        <v>17.390999999999998</v>
      </c>
      <c r="S73">
        <v>0</v>
      </c>
      <c r="T73">
        <v>0</v>
      </c>
      <c r="U73">
        <v>0</v>
      </c>
      <c r="V73">
        <f t="shared" si="3"/>
        <v>22.910999999999998</v>
      </c>
      <c r="W73">
        <f t="shared" si="4"/>
        <v>19.0505</v>
      </c>
      <c r="X73">
        <f t="shared" si="5"/>
        <v>18.638750000000002</v>
      </c>
      <c r="Y73">
        <v>13</v>
      </c>
      <c r="Z73" s="2" t="s">
        <v>44</v>
      </c>
    </row>
    <row r="74" spans="1:26" x14ac:dyDescent="0.25">
      <c r="A74">
        <v>1275</v>
      </c>
      <c r="B74">
        <v>1220</v>
      </c>
      <c r="C74" t="s">
        <v>22</v>
      </c>
      <c r="D74" t="s">
        <v>64</v>
      </c>
      <c r="E74" t="s">
        <v>27</v>
      </c>
      <c r="F74" t="s">
        <v>101</v>
      </c>
      <c r="G74" t="str">
        <f>VLOOKUP(F74,Hospitals!E:H,4,FALSE)</f>
        <v>28.4459 , 77.33248</v>
      </c>
      <c r="H74" s="1">
        <v>45980</v>
      </c>
      <c r="I74" s="1">
        <v>45980</v>
      </c>
      <c r="J74">
        <v>40.127000000000002</v>
      </c>
      <c r="K74">
        <v>37.277999999999999</v>
      </c>
      <c r="L74">
        <v>35.795000000000002</v>
      </c>
      <c r="M74">
        <v>17.646999999999998</v>
      </c>
      <c r="N74">
        <v>13.042999999999999</v>
      </c>
      <c r="O74">
        <v>13.042999999999999</v>
      </c>
      <c r="P74">
        <v>17.646999999999998</v>
      </c>
      <c r="Q74">
        <v>13.042999999999999</v>
      </c>
      <c r="R74">
        <v>13.042999999999999</v>
      </c>
      <c r="S74">
        <v>0</v>
      </c>
      <c r="T74">
        <v>0</v>
      </c>
      <c r="U74">
        <v>0</v>
      </c>
      <c r="V74">
        <f t="shared" si="3"/>
        <v>18.855249999999998</v>
      </c>
      <c r="W74">
        <f t="shared" si="4"/>
        <v>15.840999999999999</v>
      </c>
      <c r="X74">
        <f t="shared" si="5"/>
        <v>15.47025</v>
      </c>
      <c r="Y74">
        <v>13</v>
      </c>
      <c r="Z74" s="2" t="s">
        <v>66</v>
      </c>
    </row>
    <row r="75" spans="1:26" x14ac:dyDescent="0.25">
      <c r="A75">
        <v>1264</v>
      </c>
      <c r="B75">
        <v>1221</v>
      </c>
      <c r="C75" t="s">
        <v>22</v>
      </c>
      <c r="D75" t="s">
        <v>64</v>
      </c>
      <c r="E75" t="s">
        <v>27</v>
      </c>
      <c r="F75" t="s">
        <v>102</v>
      </c>
      <c r="G75" t="str">
        <f>VLOOKUP(F75,Hospitals!E:H,4,FALSE)</f>
        <v>28.04277 , 77.23058</v>
      </c>
      <c r="H75" s="1">
        <v>45989</v>
      </c>
      <c r="I75" s="1">
        <v>45989</v>
      </c>
      <c r="J75">
        <v>2.548</v>
      </c>
      <c r="K75">
        <v>2.367</v>
      </c>
      <c r="L75">
        <v>2.2730000000000001</v>
      </c>
      <c r="M75">
        <v>29.411999999999999</v>
      </c>
      <c r="N75">
        <v>21.739000000000001</v>
      </c>
      <c r="O75">
        <v>21.739000000000001</v>
      </c>
      <c r="P75">
        <v>29.411999999999999</v>
      </c>
      <c r="Q75">
        <v>21.739000000000001</v>
      </c>
      <c r="R75">
        <v>21.739000000000001</v>
      </c>
      <c r="S75">
        <v>0</v>
      </c>
      <c r="T75">
        <v>0</v>
      </c>
      <c r="U75">
        <v>0</v>
      </c>
      <c r="V75">
        <f t="shared" si="3"/>
        <v>15.343</v>
      </c>
      <c r="W75">
        <f t="shared" si="4"/>
        <v>11.46125</v>
      </c>
      <c r="X75">
        <f t="shared" si="5"/>
        <v>11.437750000000001</v>
      </c>
      <c r="Y75">
        <v>13</v>
      </c>
      <c r="Z75" s="2" t="s">
        <v>66</v>
      </c>
    </row>
    <row r="76" spans="1:26" x14ac:dyDescent="0.25">
      <c r="A76">
        <v>1273</v>
      </c>
      <c r="B76">
        <v>1222</v>
      </c>
      <c r="C76" t="s">
        <v>22</v>
      </c>
      <c r="D76" t="s">
        <v>64</v>
      </c>
      <c r="E76" t="s">
        <v>27</v>
      </c>
      <c r="F76" t="s">
        <v>103</v>
      </c>
      <c r="G76" t="str">
        <f>VLOOKUP(F76,Hospitals!E:H,4,FALSE)</f>
        <v>28.13615 , 77.32704</v>
      </c>
      <c r="H76" s="1">
        <v>45988</v>
      </c>
      <c r="I76" s="1">
        <v>45988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f t="shared" si="3"/>
        <v>0</v>
      </c>
      <c r="W76">
        <f t="shared" si="4"/>
        <v>0</v>
      </c>
      <c r="X76">
        <f t="shared" si="5"/>
        <v>0</v>
      </c>
      <c r="Y76">
        <v>13</v>
      </c>
      <c r="Z76" s="2" t="s">
        <v>66</v>
      </c>
    </row>
    <row r="77" spans="1:26" x14ac:dyDescent="0.25">
      <c r="A77">
        <v>1276</v>
      </c>
      <c r="B77">
        <v>1223</v>
      </c>
      <c r="C77" t="s">
        <v>22</v>
      </c>
      <c r="D77" t="s">
        <v>64</v>
      </c>
      <c r="E77" t="s">
        <v>27</v>
      </c>
      <c r="F77" t="s">
        <v>104</v>
      </c>
      <c r="G77" t="str">
        <f>VLOOKUP(F77,Hospitals!E:H,4,FALSE)</f>
        <v>28.15529 , 77.32166</v>
      </c>
      <c r="H77" s="1">
        <v>45980</v>
      </c>
      <c r="I77" s="1">
        <v>45980</v>
      </c>
      <c r="J77">
        <v>1.911</v>
      </c>
      <c r="K77">
        <v>1.7749999999999999</v>
      </c>
      <c r="L77">
        <v>1.7050000000000001</v>
      </c>
      <c r="M77">
        <v>11.765000000000001</v>
      </c>
      <c r="N77">
        <v>8.6959999999999997</v>
      </c>
      <c r="O77">
        <v>8.6959999999999997</v>
      </c>
      <c r="P77">
        <v>11.765000000000001</v>
      </c>
      <c r="Q77">
        <v>8.6959999999999997</v>
      </c>
      <c r="R77">
        <v>8.6959999999999997</v>
      </c>
      <c r="S77">
        <v>0</v>
      </c>
      <c r="T77">
        <v>0</v>
      </c>
      <c r="U77">
        <v>0</v>
      </c>
      <c r="V77">
        <f t="shared" si="3"/>
        <v>6.3602500000000006</v>
      </c>
      <c r="W77">
        <f t="shared" si="4"/>
        <v>4.7917500000000004</v>
      </c>
      <c r="X77">
        <f t="shared" si="5"/>
        <v>4.7742500000000003</v>
      </c>
      <c r="Y77">
        <v>13</v>
      </c>
      <c r="Z77" s="2" t="s">
        <v>66</v>
      </c>
    </row>
    <row r="78" spans="1:26" x14ac:dyDescent="0.25">
      <c r="A78">
        <v>1041</v>
      </c>
      <c r="B78">
        <v>123</v>
      </c>
      <c r="C78" t="s">
        <v>22</v>
      </c>
      <c r="D78" t="s">
        <v>42</v>
      </c>
      <c r="E78" t="s">
        <v>27</v>
      </c>
      <c r="F78" t="s">
        <v>105</v>
      </c>
      <c r="G78" t="str">
        <f>VLOOKUP(F78,Hospitals!E:H,4,FALSE)</f>
        <v>29.35357 , 75.8743</v>
      </c>
      <c r="H78" s="1">
        <v>45554</v>
      </c>
      <c r="I78" s="1">
        <v>45554</v>
      </c>
      <c r="J78">
        <v>10.191000000000001</v>
      </c>
      <c r="K78">
        <v>9.4670000000000005</v>
      </c>
      <c r="L78">
        <v>9.0909999999999993</v>
      </c>
      <c r="M78">
        <v>11.765000000000001</v>
      </c>
      <c r="N78">
        <v>8.6959999999999997</v>
      </c>
      <c r="O78">
        <v>8.6959999999999997</v>
      </c>
      <c r="P78">
        <v>11.765000000000001</v>
      </c>
      <c r="Q78">
        <v>8.6959999999999997</v>
      </c>
      <c r="R78">
        <v>8.6959999999999997</v>
      </c>
      <c r="S78">
        <v>0</v>
      </c>
      <c r="T78">
        <v>0</v>
      </c>
      <c r="U78">
        <v>0</v>
      </c>
      <c r="V78">
        <f t="shared" si="3"/>
        <v>8.4302500000000009</v>
      </c>
      <c r="W78">
        <f t="shared" si="4"/>
        <v>6.7147500000000004</v>
      </c>
      <c r="X78">
        <f t="shared" si="5"/>
        <v>6.6207499999999992</v>
      </c>
      <c r="Y78">
        <v>13</v>
      </c>
      <c r="Z78" s="2" t="s">
        <v>44</v>
      </c>
    </row>
    <row r="79" spans="1:26" x14ac:dyDescent="0.25">
      <c r="A79">
        <v>843</v>
      </c>
      <c r="B79">
        <v>124</v>
      </c>
      <c r="C79" t="s">
        <v>22</v>
      </c>
      <c r="D79" t="s">
        <v>42</v>
      </c>
      <c r="E79" t="s">
        <v>27</v>
      </c>
      <c r="F79" t="s">
        <v>106</v>
      </c>
      <c r="G79" t="str">
        <f>VLOOKUP(F79,Hospitals!E:H,4,FALSE)</f>
        <v>29.14919 , 75.72165</v>
      </c>
      <c r="H79" s="1">
        <v>45552</v>
      </c>
      <c r="I79" s="1">
        <v>45552</v>
      </c>
      <c r="J79">
        <v>33.758000000000003</v>
      </c>
      <c r="K79">
        <v>31.361000000000001</v>
      </c>
      <c r="L79">
        <v>30.114000000000001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f t="shared" si="3"/>
        <v>8.4395000000000007</v>
      </c>
      <c r="W79">
        <f t="shared" si="4"/>
        <v>7.8402500000000002</v>
      </c>
      <c r="X79">
        <f t="shared" si="5"/>
        <v>7.5285000000000002</v>
      </c>
      <c r="Y79">
        <v>13</v>
      </c>
      <c r="Z79" s="2" t="s">
        <v>44</v>
      </c>
    </row>
    <row r="80" spans="1:26" x14ac:dyDescent="0.25">
      <c r="A80">
        <v>1040</v>
      </c>
      <c r="B80">
        <v>125</v>
      </c>
      <c r="C80" t="s">
        <v>22</v>
      </c>
      <c r="D80" t="s">
        <v>42</v>
      </c>
      <c r="E80" t="s">
        <v>27</v>
      </c>
      <c r="F80" t="s">
        <v>107</v>
      </c>
      <c r="G80" t="str">
        <f>VLOOKUP(F80,Hospitals!E:H,4,FALSE)</f>
        <v>29.43055 , 74.92088</v>
      </c>
      <c r="H80" s="1">
        <v>45638</v>
      </c>
      <c r="I80" s="1">
        <v>45638</v>
      </c>
      <c r="J80">
        <v>30.573</v>
      </c>
      <c r="K80">
        <v>28.402000000000001</v>
      </c>
      <c r="L80">
        <v>27.273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f t="shared" si="3"/>
        <v>7.6432500000000001</v>
      </c>
      <c r="W80">
        <f t="shared" si="4"/>
        <v>7.1005000000000003</v>
      </c>
      <c r="X80">
        <f t="shared" si="5"/>
        <v>6.8182499999999999</v>
      </c>
      <c r="Y80">
        <v>13</v>
      </c>
      <c r="Z80" s="2" t="s">
        <v>44</v>
      </c>
    </row>
    <row r="81" spans="1:26" x14ac:dyDescent="0.25">
      <c r="A81">
        <v>1014</v>
      </c>
      <c r="B81">
        <v>126</v>
      </c>
      <c r="C81" t="s">
        <v>22</v>
      </c>
      <c r="D81" t="s">
        <v>42</v>
      </c>
      <c r="E81" t="s">
        <v>27</v>
      </c>
      <c r="F81" t="s">
        <v>108</v>
      </c>
      <c r="G81" t="str">
        <f>VLOOKUP(F81,Hospitals!E:H,4,FALSE)</f>
        <v>28.97019 , 77.05723</v>
      </c>
      <c r="H81" s="1">
        <v>45600</v>
      </c>
      <c r="I81" s="1">
        <v>45600</v>
      </c>
      <c r="J81">
        <v>45.86</v>
      </c>
      <c r="K81">
        <v>43.195</v>
      </c>
      <c r="L81">
        <v>41.476999999999997</v>
      </c>
      <c r="M81">
        <v>23.529</v>
      </c>
      <c r="N81">
        <v>17.390999999999998</v>
      </c>
      <c r="O81">
        <v>17.390999999999998</v>
      </c>
      <c r="P81">
        <v>23.529</v>
      </c>
      <c r="Q81">
        <v>17.390999999999998</v>
      </c>
      <c r="R81">
        <v>17.390999999999998</v>
      </c>
      <c r="S81">
        <v>0</v>
      </c>
      <c r="T81">
        <v>0</v>
      </c>
      <c r="U81">
        <v>0</v>
      </c>
      <c r="V81">
        <f t="shared" si="3"/>
        <v>23.229499999999998</v>
      </c>
      <c r="W81">
        <f t="shared" si="4"/>
        <v>19.494250000000001</v>
      </c>
      <c r="X81">
        <f t="shared" si="5"/>
        <v>19.064749999999997</v>
      </c>
      <c r="Y81">
        <v>13</v>
      </c>
      <c r="Z81" s="2" t="s">
        <v>44</v>
      </c>
    </row>
    <row r="82" spans="1:26" x14ac:dyDescent="0.25">
      <c r="A82">
        <v>656</v>
      </c>
      <c r="B82">
        <v>127</v>
      </c>
      <c r="C82" t="s">
        <v>22</v>
      </c>
      <c r="D82" t="s">
        <v>42</v>
      </c>
      <c r="E82" t="s">
        <v>27</v>
      </c>
      <c r="F82" t="s">
        <v>109</v>
      </c>
      <c r="G82" t="str">
        <f>VLOOKUP(F82,Hospitals!E:H,4,FALSE)</f>
        <v>29.07826 , 75.48747</v>
      </c>
      <c r="H82" s="1">
        <v>45602</v>
      </c>
      <c r="I82" s="1">
        <v>45602</v>
      </c>
      <c r="J82">
        <v>33.121000000000002</v>
      </c>
      <c r="K82">
        <v>30.768999999999998</v>
      </c>
      <c r="L82">
        <v>29.545000000000002</v>
      </c>
      <c r="M82">
        <v>23.529</v>
      </c>
      <c r="N82">
        <v>17.390999999999998</v>
      </c>
      <c r="O82">
        <v>17.390999999999998</v>
      </c>
      <c r="P82">
        <v>23.529</v>
      </c>
      <c r="Q82">
        <v>17.390999999999998</v>
      </c>
      <c r="R82">
        <v>17.390999999999998</v>
      </c>
      <c r="S82">
        <v>10</v>
      </c>
      <c r="T82">
        <v>8.3330000000000002</v>
      </c>
      <c r="U82">
        <v>0</v>
      </c>
      <c r="V82">
        <f t="shared" si="3"/>
        <v>22.544750000000001</v>
      </c>
      <c r="W82">
        <f t="shared" si="4"/>
        <v>18.470999999999997</v>
      </c>
      <c r="X82">
        <f t="shared" si="5"/>
        <v>16.08175</v>
      </c>
      <c r="Y82">
        <v>13</v>
      </c>
      <c r="Z82" s="2" t="s">
        <v>44</v>
      </c>
    </row>
    <row r="83" spans="1:26" x14ac:dyDescent="0.25">
      <c r="A83">
        <v>1046</v>
      </c>
      <c r="B83">
        <v>128</v>
      </c>
      <c r="C83" t="s">
        <v>22</v>
      </c>
      <c r="D83" t="s">
        <v>42</v>
      </c>
      <c r="E83" t="s">
        <v>27</v>
      </c>
      <c r="F83" t="s">
        <v>110</v>
      </c>
      <c r="G83" t="str">
        <f>VLOOKUP(F83,Hospitals!E:H,4,FALSE)</f>
        <v>29.08488 , 76.0873</v>
      </c>
      <c r="H83" s="1">
        <v>45555</v>
      </c>
      <c r="I83" s="1">
        <v>45555</v>
      </c>
      <c r="J83">
        <v>30.573</v>
      </c>
      <c r="K83">
        <v>28.994</v>
      </c>
      <c r="L83">
        <v>27.841000000000001</v>
      </c>
      <c r="M83">
        <v>29.411999999999999</v>
      </c>
      <c r="N83">
        <v>21.739000000000001</v>
      </c>
      <c r="O83">
        <v>21.739000000000001</v>
      </c>
      <c r="P83">
        <v>29.411999999999999</v>
      </c>
      <c r="Q83">
        <v>21.739000000000001</v>
      </c>
      <c r="R83">
        <v>21.739000000000001</v>
      </c>
      <c r="S83">
        <v>10</v>
      </c>
      <c r="T83">
        <v>8.3330000000000002</v>
      </c>
      <c r="U83">
        <v>0</v>
      </c>
      <c r="V83">
        <f t="shared" si="3"/>
        <v>24.849249999999998</v>
      </c>
      <c r="W83">
        <f t="shared" si="4"/>
        <v>20.201250000000002</v>
      </c>
      <c r="X83">
        <f t="shared" si="5"/>
        <v>17.829750000000001</v>
      </c>
      <c r="Y83">
        <v>13</v>
      </c>
      <c r="Z83" s="2" t="s">
        <v>44</v>
      </c>
    </row>
    <row r="84" spans="1:26" x14ac:dyDescent="0.25">
      <c r="A84">
        <v>1057</v>
      </c>
      <c r="B84">
        <v>129</v>
      </c>
      <c r="C84" t="s">
        <v>22</v>
      </c>
      <c r="D84" t="s">
        <v>42</v>
      </c>
      <c r="E84" t="s">
        <v>27</v>
      </c>
      <c r="F84" t="s">
        <v>111</v>
      </c>
      <c r="G84" t="str">
        <f>VLOOKUP(F84,Hospitals!E:H,4,FALSE)</f>
        <v>29.42239 , 76.96876</v>
      </c>
      <c r="H84" s="1">
        <v>45556</v>
      </c>
      <c r="I84" s="1">
        <v>45556</v>
      </c>
      <c r="J84">
        <v>38.853999999999999</v>
      </c>
      <c r="K84">
        <v>36.094999999999999</v>
      </c>
      <c r="L84">
        <v>34.658999999999999</v>
      </c>
      <c r="M84">
        <v>17.646999999999998</v>
      </c>
      <c r="N84">
        <v>26.087</v>
      </c>
      <c r="O84">
        <v>26.087</v>
      </c>
      <c r="P84">
        <v>17.646999999999998</v>
      </c>
      <c r="Q84">
        <v>26.087</v>
      </c>
      <c r="R84">
        <v>26.087</v>
      </c>
      <c r="S84">
        <v>0</v>
      </c>
      <c r="T84">
        <v>0</v>
      </c>
      <c r="U84">
        <v>0</v>
      </c>
      <c r="V84">
        <f t="shared" si="3"/>
        <v>18.536999999999999</v>
      </c>
      <c r="W84">
        <f t="shared" si="4"/>
        <v>22.067250000000001</v>
      </c>
      <c r="X84">
        <f t="shared" si="5"/>
        <v>21.70825</v>
      </c>
      <c r="Y84">
        <v>13</v>
      </c>
      <c r="Z84" s="2" t="s">
        <v>44</v>
      </c>
    </row>
    <row r="85" spans="1:26" x14ac:dyDescent="0.25">
      <c r="A85">
        <v>800</v>
      </c>
      <c r="B85">
        <v>13</v>
      </c>
      <c r="C85" t="s">
        <v>22</v>
      </c>
      <c r="D85" t="s">
        <v>23</v>
      </c>
      <c r="E85" t="s">
        <v>27</v>
      </c>
      <c r="F85" t="s">
        <v>112</v>
      </c>
      <c r="G85" t="str">
        <f>VLOOKUP(F85,Hospitals!E:H,4,FALSE)</f>
        <v>30.37369 , 77.09641</v>
      </c>
      <c r="H85" s="1">
        <v>45490</v>
      </c>
      <c r="I85" s="1">
        <v>45490</v>
      </c>
      <c r="J85">
        <v>13.375999999999999</v>
      </c>
      <c r="K85">
        <v>12.426</v>
      </c>
      <c r="L85">
        <v>11.932</v>
      </c>
      <c r="M85">
        <v>11.765000000000001</v>
      </c>
      <c r="N85">
        <v>8.6959999999999997</v>
      </c>
      <c r="O85">
        <v>8.6959999999999997</v>
      </c>
      <c r="P85">
        <v>11.765000000000001</v>
      </c>
      <c r="Q85">
        <v>8.6959999999999997</v>
      </c>
      <c r="R85">
        <v>8.6959999999999997</v>
      </c>
      <c r="S85">
        <v>0</v>
      </c>
      <c r="T85">
        <v>0</v>
      </c>
      <c r="U85">
        <v>0</v>
      </c>
      <c r="V85">
        <f t="shared" si="3"/>
        <v>9.2264999999999997</v>
      </c>
      <c r="W85">
        <f t="shared" si="4"/>
        <v>7.4544999999999995</v>
      </c>
      <c r="X85">
        <f t="shared" si="5"/>
        <v>7.3309999999999995</v>
      </c>
      <c r="Y85">
        <v>13</v>
      </c>
      <c r="Z85" s="2" t="s">
        <v>26</v>
      </c>
    </row>
    <row r="86" spans="1:26" x14ac:dyDescent="0.25">
      <c r="A86">
        <v>966</v>
      </c>
      <c r="B86">
        <v>130</v>
      </c>
      <c r="C86" t="s">
        <v>22</v>
      </c>
      <c r="D86" t="s">
        <v>42</v>
      </c>
      <c r="E86" t="s">
        <v>27</v>
      </c>
      <c r="F86" t="s">
        <v>113</v>
      </c>
      <c r="G86" t="str">
        <f>VLOOKUP(F86,Hospitals!E:H,4,FALSE)</f>
        <v>29.55674 , 75.02234</v>
      </c>
      <c r="H86" s="1">
        <v>45639</v>
      </c>
      <c r="I86" s="1">
        <v>45639</v>
      </c>
      <c r="J86">
        <v>31.847000000000001</v>
      </c>
      <c r="K86">
        <v>29.585999999999999</v>
      </c>
      <c r="L86">
        <v>28.408999999999999</v>
      </c>
      <c r="M86">
        <v>23.529</v>
      </c>
      <c r="N86">
        <v>17.390999999999998</v>
      </c>
      <c r="O86">
        <v>17.390999999999998</v>
      </c>
      <c r="P86">
        <v>23.529</v>
      </c>
      <c r="Q86">
        <v>17.390999999999998</v>
      </c>
      <c r="R86">
        <v>17.390999999999998</v>
      </c>
      <c r="S86">
        <v>0</v>
      </c>
      <c r="T86">
        <v>0</v>
      </c>
      <c r="U86">
        <v>0</v>
      </c>
      <c r="V86">
        <f t="shared" si="3"/>
        <v>19.72625</v>
      </c>
      <c r="W86">
        <f t="shared" si="4"/>
        <v>16.091999999999999</v>
      </c>
      <c r="X86">
        <f t="shared" si="5"/>
        <v>15.797749999999999</v>
      </c>
      <c r="Y86">
        <v>13</v>
      </c>
      <c r="Z86" s="2" t="s">
        <v>44</v>
      </c>
    </row>
    <row r="87" spans="1:26" x14ac:dyDescent="0.25">
      <c r="A87">
        <v>1052</v>
      </c>
      <c r="B87">
        <v>131</v>
      </c>
      <c r="C87" t="s">
        <v>22</v>
      </c>
      <c r="D87" t="s">
        <v>42</v>
      </c>
      <c r="E87" t="s">
        <v>27</v>
      </c>
      <c r="F87" t="s">
        <v>114</v>
      </c>
      <c r="G87" t="str">
        <f>VLOOKUP(F87,Hospitals!E:H,4,FALSE)</f>
        <v>29.32519 , 76.34022</v>
      </c>
      <c r="H87" s="1">
        <v>45555</v>
      </c>
      <c r="I87" s="1">
        <v>45555</v>
      </c>
      <c r="J87">
        <v>15.923999999999999</v>
      </c>
      <c r="K87">
        <v>14.792999999999999</v>
      </c>
      <c r="L87">
        <v>14.205</v>
      </c>
      <c r="M87">
        <v>17.646999999999998</v>
      </c>
      <c r="N87">
        <v>13.042999999999999</v>
      </c>
      <c r="O87">
        <v>13.042999999999999</v>
      </c>
      <c r="P87">
        <v>17.646999999999998</v>
      </c>
      <c r="Q87">
        <v>13.042999999999999</v>
      </c>
      <c r="R87">
        <v>13.042999999999999</v>
      </c>
      <c r="S87">
        <v>0</v>
      </c>
      <c r="T87">
        <v>0</v>
      </c>
      <c r="U87">
        <v>0</v>
      </c>
      <c r="V87">
        <f t="shared" si="3"/>
        <v>12.804499999999999</v>
      </c>
      <c r="W87">
        <f t="shared" si="4"/>
        <v>10.219749999999999</v>
      </c>
      <c r="X87">
        <f t="shared" si="5"/>
        <v>10.072749999999999</v>
      </c>
      <c r="Y87">
        <v>13</v>
      </c>
      <c r="Z87" s="2" t="s">
        <v>44</v>
      </c>
    </row>
    <row r="88" spans="1:26" x14ac:dyDescent="0.25">
      <c r="A88">
        <v>1123</v>
      </c>
      <c r="B88">
        <v>132</v>
      </c>
      <c r="C88" t="s">
        <v>22</v>
      </c>
      <c r="D88" t="s">
        <v>42</v>
      </c>
      <c r="E88" t="s">
        <v>27</v>
      </c>
      <c r="F88" t="s">
        <v>115</v>
      </c>
      <c r="G88" t="str">
        <f>VLOOKUP(F88,Hospitals!E:H,4,FALSE)</f>
        <v>28.99051 , 76.98735</v>
      </c>
      <c r="H88" s="1">
        <v>45666</v>
      </c>
      <c r="I88" t="s">
        <v>35</v>
      </c>
      <c r="J88">
        <v>0.63700000000000001</v>
      </c>
      <c r="K88">
        <v>0.59199999999999997</v>
      </c>
      <c r="L88">
        <v>0.56799999999999995</v>
      </c>
      <c r="M88">
        <v>17.646999999999998</v>
      </c>
      <c r="N88">
        <v>13.042999999999999</v>
      </c>
      <c r="O88">
        <v>13.042999999999999</v>
      </c>
      <c r="P88">
        <v>17.646999999999998</v>
      </c>
      <c r="Q88">
        <v>13.042999999999999</v>
      </c>
      <c r="R88">
        <v>13.042999999999999</v>
      </c>
      <c r="S88">
        <v>0</v>
      </c>
      <c r="T88">
        <v>0</v>
      </c>
      <c r="U88">
        <v>0</v>
      </c>
      <c r="V88">
        <f t="shared" si="3"/>
        <v>8.9827499999999993</v>
      </c>
      <c r="W88">
        <f t="shared" si="4"/>
        <v>6.6694999999999993</v>
      </c>
      <c r="X88">
        <f t="shared" si="5"/>
        <v>6.6634999999999991</v>
      </c>
      <c r="Y88">
        <v>13</v>
      </c>
      <c r="Z88" s="2" t="s">
        <v>44</v>
      </c>
    </row>
    <row r="89" spans="1:26" x14ac:dyDescent="0.25">
      <c r="A89">
        <v>1045</v>
      </c>
      <c r="B89">
        <v>132</v>
      </c>
      <c r="C89" t="s">
        <v>22</v>
      </c>
      <c r="D89" t="s">
        <v>42</v>
      </c>
      <c r="E89" t="s">
        <v>27</v>
      </c>
      <c r="F89" t="s">
        <v>115</v>
      </c>
      <c r="G89" t="str">
        <f>VLOOKUP(F89,Hospitals!E:H,4,FALSE)</f>
        <v>28.99051 , 76.98735</v>
      </c>
      <c r="H89" s="1">
        <v>45600</v>
      </c>
      <c r="I89" s="1">
        <v>45600</v>
      </c>
      <c r="J89">
        <v>0.63700000000000001</v>
      </c>
      <c r="K89">
        <v>0.59199999999999997</v>
      </c>
      <c r="L89">
        <v>0.56799999999999995</v>
      </c>
      <c r="M89">
        <v>17.646999999999998</v>
      </c>
      <c r="N89">
        <v>13.042999999999999</v>
      </c>
      <c r="O89">
        <v>13.042999999999999</v>
      </c>
      <c r="P89">
        <v>17.646999999999998</v>
      </c>
      <c r="Q89">
        <v>13.042999999999999</v>
      </c>
      <c r="R89">
        <v>13.042999999999999</v>
      </c>
      <c r="S89">
        <v>0</v>
      </c>
      <c r="T89">
        <v>0</v>
      </c>
      <c r="U89">
        <v>0</v>
      </c>
      <c r="V89">
        <f t="shared" si="3"/>
        <v>8.9827499999999993</v>
      </c>
      <c r="W89">
        <f t="shared" si="4"/>
        <v>6.6694999999999993</v>
      </c>
      <c r="X89">
        <f t="shared" si="5"/>
        <v>6.6634999999999991</v>
      </c>
      <c r="Y89">
        <v>13</v>
      </c>
      <c r="Z89" s="2" t="s">
        <v>44</v>
      </c>
    </row>
    <row r="90" spans="1:26" x14ac:dyDescent="0.25">
      <c r="A90">
        <v>1050</v>
      </c>
      <c r="B90">
        <v>133</v>
      </c>
      <c r="C90" t="s">
        <v>22</v>
      </c>
      <c r="D90" t="s">
        <v>42</v>
      </c>
      <c r="E90" t="s">
        <v>27</v>
      </c>
      <c r="F90" t="s">
        <v>116</v>
      </c>
      <c r="G90" t="str">
        <f>VLOOKUP(F90,Hospitals!E:H,4,FALSE)</f>
        <v>28.90345 , 76.57194</v>
      </c>
      <c r="H90" s="1">
        <v>45572</v>
      </c>
      <c r="I90" s="1">
        <v>45572</v>
      </c>
      <c r="J90">
        <v>14.65</v>
      </c>
      <c r="K90">
        <v>13.609</v>
      </c>
      <c r="L90">
        <v>13.068</v>
      </c>
      <c r="M90">
        <v>11.765000000000001</v>
      </c>
      <c r="N90">
        <v>8.6959999999999997</v>
      </c>
      <c r="O90">
        <v>8.6959999999999997</v>
      </c>
      <c r="P90">
        <v>11.765000000000001</v>
      </c>
      <c r="Q90">
        <v>8.6959999999999997</v>
      </c>
      <c r="R90">
        <v>8.6959999999999997</v>
      </c>
      <c r="S90">
        <v>0</v>
      </c>
      <c r="T90">
        <v>0</v>
      </c>
      <c r="U90">
        <v>0</v>
      </c>
      <c r="V90">
        <f t="shared" si="3"/>
        <v>9.5449999999999999</v>
      </c>
      <c r="W90">
        <f t="shared" si="4"/>
        <v>7.7502499999999994</v>
      </c>
      <c r="X90">
        <f t="shared" si="5"/>
        <v>7.6150000000000002</v>
      </c>
      <c r="Y90">
        <v>13</v>
      </c>
      <c r="Z90" s="2" t="s">
        <v>44</v>
      </c>
    </row>
    <row r="91" spans="1:26" x14ac:dyDescent="0.25">
      <c r="A91">
        <v>1047</v>
      </c>
      <c r="B91">
        <v>134</v>
      </c>
      <c r="C91" t="s">
        <v>22</v>
      </c>
      <c r="D91" t="s">
        <v>42</v>
      </c>
      <c r="E91" t="s">
        <v>27</v>
      </c>
      <c r="F91" t="s">
        <v>117</v>
      </c>
      <c r="G91" t="str">
        <f>VLOOKUP(F91,Hospitals!E:H,4,FALSE)</f>
        <v>29.21934 , 75.79513</v>
      </c>
      <c r="H91" s="1">
        <v>45554</v>
      </c>
      <c r="I91" s="1">
        <v>45554</v>
      </c>
      <c r="J91">
        <v>58.598999999999997</v>
      </c>
      <c r="K91">
        <v>54.438000000000002</v>
      </c>
      <c r="L91">
        <v>52.273000000000003</v>
      </c>
      <c r="M91">
        <v>23.529</v>
      </c>
      <c r="N91">
        <v>17.390999999999998</v>
      </c>
      <c r="O91">
        <v>17.390999999999998</v>
      </c>
      <c r="P91">
        <v>23.529</v>
      </c>
      <c r="Q91">
        <v>17.390999999999998</v>
      </c>
      <c r="R91">
        <v>17.390999999999998</v>
      </c>
      <c r="S91">
        <v>0</v>
      </c>
      <c r="T91">
        <v>0</v>
      </c>
      <c r="U91">
        <v>0</v>
      </c>
      <c r="V91">
        <f t="shared" si="3"/>
        <v>26.414249999999999</v>
      </c>
      <c r="W91">
        <f t="shared" si="4"/>
        <v>22.305</v>
      </c>
      <c r="X91">
        <f t="shared" si="5"/>
        <v>21.763750000000002</v>
      </c>
      <c r="Y91">
        <v>13</v>
      </c>
      <c r="Z91" s="2" t="s">
        <v>44</v>
      </c>
    </row>
    <row r="92" spans="1:26" x14ac:dyDescent="0.25">
      <c r="A92">
        <v>1042</v>
      </c>
      <c r="B92">
        <v>135</v>
      </c>
      <c r="C92" t="s">
        <v>22</v>
      </c>
      <c r="D92" t="s">
        <v>42</v>
      </c>
      <c r="E92" t="s">
        <v>27</v>
      </c>
      <c r="F92" t="s">
        <v>118</v>
      </c>
      <c r="G92" t="str">
        <f>VLOOKUP(F92,Hospitals!E:H,4,FALSE)</f>
        <v>29.12541 , 75.74878</v>
      </c>
      <c r="H92" s="1">
        <v>45573</v>
      </c>
      <c r="I92" s="1">
        <v>45573</v>
      </c>
      <c r="J92">
        <v>48.408000000000001</v>
      </c>
      <c r="K92">
        <v>44.97</v>
      </c>
      <c r="L92">
        <v>43.182000000000002</v>
      </c>
      <c r="M92">
        <v>11.765000000000001</v>
      </c>
      <c r="N92">
        <v>8.6959999999999997</v>
      </c>
      <c r="O92">
        <v>8.6959999999999997</v>
      </c>
      <c r="P92">
        <v>11.765000000000001</v>
      </c>
      <c r="Q92">
        <v>8.6959999999999997</v>
      </c>
      <c r="R92">
        <v>8.6959999999999997</v>
      </c>
      <c r="S92">
        <v>0</v>
      </c>
      <c r="T92">
        <v>0</v>
      </c>
      <c r="U92">
        <v>0</v>
      </c>
      <c r="V92">
        <f t="shared" si="3"/>
        <v>17.984500000000001</v>
      </c>
      <c r="W92">
        <f t="shared" si="4"/>
        <v>15.590499999999999</v>
      </c>
      <c r="X92">
        <f t="shared" si="5"/>
        <v>15.1435</v>
      </c>
      <c r="Y92">
        <v>13</v>
      </c>
      <c r="Z92" s="2" t="s">
        <v>44</v>
      </c>
    </row>
    <row r="93" spans="1:26" x14ac:dyDescent="0.25">
      <c r="A93">
        <v>1078</v>
      </c>
      <c r="B93">
        <v>135</v>
      </c>
      <c r="C93" t="s">
        <v>22</v>
      </c>
      <c r="D93" t="s">
        <v>42</v>
      </c>
      <c r="E93" t="s">
        <v>27</v>
      </c>
      <c r="F93" t="s">
        <v>118</v>
      </c>
      <c r="G93" t="str">
        <f>VLOOKUP(F93,Hospitals!E:H,4,FALSE)</f>
        <v>29.12541 , 75.74878</v>
      </c>
      <c r="H93" s="1">
        <v>45573</v>
      </c>
      <c r="I93" s="1">
        <v>45573</v>
      </c>
      <c r="J93">
        <v>48.408000000000001</v>
      </c>
      <c r="K93">
        <v>44.97</v>
      </c>
      <c r="L93">
        <v>43.182000000000002</v>
      </c>
      <c r="M93">
        <v>11.765000000000001</v>
      </c>
      <c r="N93">
        <v>8.6959999999999997</v>
      </c>
      <c r="O93">
        <v>8.6959999999999997</v>
      </c>
      <c r="P93">
        <v>11.765000000000001</v>
      </c>
      <c r="Q93">
        <v>8.6959999999999997</v>
      </c>
      <c r="R93">
        <v>8.6959999999999997</v>
      </c>
      <c r="S93">
        <v>0</v>
      </c>
      <c r="T93">
        <v>0</v>
      </c>
      <c r="U93">
        <v>0</v>
      </c>
      <c r="V93">
        <f t="shared" si="3"/>
        <v>17.984500000000001</v>
      </c>
      <c r="W93">
        <f t="shared" si="4"/>
        <v>15.590499999999999</v>
      </c>
      <c r="X93">
        <f t="shared" si="5"/>
        <v>15.1435</v>
      </c>
      <c r="Y93">
        <v>13</v>
      </c>
      <c r="Z93" s="2" t="s">
        <v>44</v>
      </c>
    </row>
    <row r="94" spans="1:26" x14ac:dyDescent="0.25">
      <c r="A94">
        <v>1062</v>
      </c>
      <c r="B94">
        <v>136</v>
      </c>
      <c r="C94" t="s">
        <v>22</v>
      </c>
      <c r="D94" t="s">
        <v>42</v>
      </c>
      <c r="E94" t="s">
        <v>27</v>
      </c>
      <c r="F94" t="s">
        <v>119</v>
      </c>
      <c r="G94" t="str">
        <f>VLOOKUP(F94,Hospitals!E:H,4,FALSE)</f>
        <v>29.04954 , 75.57425</v>
      </c>
      <c r="H94" s="1">
        <v>45727</v>
      </c>
      <c r="I94" s="1">
        <v>45727</v>
      </c>
      <c r="J94">
        <v>26.751999999999999</v>
      </c>
      <c r="K94">
        <v>24.852</v>
      </c>
      <c r="L94">
        <v>23.864000000000001</v>
      </c>
      <c r="M94">
        <v>11.765000000000001</v>
      </c>
      <c r="N94">
        <v>17.390999999999998</v>
      </c>
      <c r="O94">
        <v>17.390999999999998</v>
      </c>
      <c r="P94">
        <v>11.765000000000001</v>
      </c>
      <c r="Q94">
        <v>17.390999999999998</v>
      </c>
      <c r="R94">
        <v>17.390999999999998</v>
      </c>
      <c r="S94">
        <v>0</v>
      </c>
      <c r="T94">
        <v>0</v>
      </c>
      <c r="U94">
        <v>0</v>
      </c>
      <c r="V94">
        <f t="shared" si="3"/>
        <v>12.570499999999999</v>
      </c>
      <c r="W94">
        <f t="shared" si="4"/>
        <v>14.908499999999998</v>
      </c>
      <c r="X94">
        <f t="shared" si="5"/>
        <v>14.661499999999998</v>
      </c>
      <c r="Y94">
        <v>13</v>
      </c>
      <c r="Z94" s="2" t="s">
        <v>44</v>
      </c>
    </row>
    <row r="95" spans="1:26" x14ac:dyDescent="0.25">
      <c r="A95">
        <v>1058</v>
      </c>
      <c r="B95">
        <v>137</v>
      </c>
      <c r="C95" t="s">
        <v>22</v>
      </c>
      <c r="D95" t="s">
        <v>42</v>
      </c>
      <c r="E95" t="s">
        <v>27</v>
      </c>
      <c r="F95" t="s">
        <v>120</v>
      </c>
      <c r="G95" t="str">
        <f>VLOOKUP(F95,Hospitals!E:H,4,FALSE)</f>
        <v>28.98002 , 76.30029</v>
      </c>
      <c r="H95" s="1">
        <v>45679</v>
      </c>
      <c r="I95" s="1">
        <v>45679</v>
      </c>
      <c r="J95">
        <v>14.65</v>
      </c>
      <c r="K95">
        <v>14.201000000000001</v>
      </c>
      <c r="L95">
        <v>13.635999999999999</v>
      </c>
      <c r="M95">
        <v>17.646999999999998</v>
      </c>
      <c r="N95">
        <v>13.042999999999999</v>
      </c>
      <c r="O95">
        <v>13.042999999999999</v>
      </c>
      <c r="P95">
        <v>17.646999999999998</v>
      </c>
      <c r="Q95">
        <v>13.042999999999999</v>
      </c>
      <c r="R95">
        <v>13.042999999999999</v>
      </c>
      <c r="S95">
        <v>0</v>
      </c>
      <c r="T95">
        <v>0</v>
      </c>
      <c r="U95">
        <v>0</v>
      </c>
      <c r="V95">
        <f t="shared" si="3"/>
        <v>12.485999999999999</v>
      </c>
      <c r="W95">
        <f t="shared" si="4"/>
        <v>10.07175</v>
      </c>
      <c r="X95">
        <f t="shared" si="5"/>
        <v>9.9304999999999986</v>
      </c>
      <c r="Y95">
        <v>13</v>
      </c>
      <c r="Z95" s="2" t="s">
        <v>44</v>
      </c>
    </row>
    <row r="96" spans="1:26" x14ac:dyDescent="0.25">
      <c r="A96">
        <v>1175</v>
      </c>
      <c r="B96">
        <v>137</v>
      </c>
      <c r="C96" t="s">
        <v>22</v>
      </c>
      <c r="D96" t="s">
        <v>42</v>
      </c>
      <c r="E96" t="s">
        <v>27</v>
      </c>
      <c r="F96" t="s">
        <v>120</v>
      </c>
      <c r="G96" t="str">
        <f>VLOOKUP(F96,Hospitals!E:H,4,FALSE)</f>
        <v>28.98002 , 76.30029</v>
      </c>
      <c r="H96" s="1">
        <v>45775</v>
      </c>
      <c r="I96" s="1">
        <v>45775</v>
      </c>
      <c r="J96">
        <v>14.65</v>
      </c>
      <c r="K96">
        <v>14.201000000000001</v>
      </c>
      <c r="L96">
        <v>13.635999999999999</v>
      </c>
      <c r="M96">
        <v>17.646999999999998</v>
      </c>
      <c r="N96">
        <v>13.042999999999999</v>
      </c>
      <c r="O96">
        <v>13.042999999999999</v>
      </c>
      <c r="P96">
        <v>17.646999999999998</v>
      </c>
      <c r="Q96">
        <v>13.042999999999999</v>
      </c>
      <c r="R96">
        <v>13.042999999999999</v>
      </c>
      <c r="S96">
        <v>0</v>
      </c>
      <c r="T96">
        <v>0</v>
      </c>
      <c r="U96">
        <v>0</v>
      </c>
      <c r="V96">
        <f t="shared" si="3"/>
        <v>12.485999999999999</v>
      </c>
      <c r="W96">
        <f t="shared" si="4"/>
        <v>10.07175</v>
      </c>
      <c r="X96">
        <f t="shared" si="5"/>
        <v>9.9304999999999986</v>
      </c>
      <c r="Y96">
        <v>13</v>
      </c>
      <c r="Z96" s="2" t="s">
        <v>44</v>
      </c>
    </row>
    <row r="97" spans="1:26" x14ac:dyDescent="0.25">
      <c r="A97">
        <v>1054</v>
      </c>
      <c r="B97">
        <v>138</v>
      </c>
      <c r="C97" t="s">
        <v>22</v>
      </c>
      <c r="D97" t="s">
        <v>42</v>
      </c>
      <c r="E97" t="s">
        <v>27</v>
      </c>
      <c r="F97" t="s">
        <v>121</v>
      </c>
      <c r="G97" t="str">
        <f>VLOOKUP(F97,Hospitals!E:H,4,FALSE)</f>
        <v>28.62612 , 77.24401</v>
      </c>
      <c r="H97" s="1">
        <v>45751</v>
      </c>
      <c r="I97" s="1">
        <v>45751</v>
      </c>
      <c r="J97">
        <v>50.317999999999998</v>
      </c>
      <c r="K97">
        <v>47.337000000000003</v>
      </c>
      <c r="L97">
        <v>45.454999999999998</v>
      </c>
      <c r="M97">
        <v>29.411999999999999</v>
      </c>
      <c r="N97">
        <v>21.739000000000001</v>
      </c>
      <c r="O97">
        <v>21.739000000000001</v>
      </c>
      <c r="P97">
        <v>29.411999999999999</v>
      </c>
      <c r="Q97">
        <v>21.739000000000001</v>
      </c>
      <c r="R97">
        <v>21.739000000000001</v>
      </c>
      <c r="S97">
        <v>0</v>
      </c>
      <c r="T97">
        <v>0</v>
      </c>
      <c r="U97">
        <v>0</v>
      </c>
      <c r="V97">
        <f t="shared" si="3"/>
        <v>27.285499999999999</v>
      </c>
      <c r="W97">
        <f t="shared" si="4"/>
        <v>22.703750000000003</v>
      </c>
      <c r="X97">
        <f t="shared" si="5"/>
        <v>22.233250000000002</v>
      </c>
      <c r="Y97">
        <v>13</v>
      </c>
      <c r="Z97" s="2" t="s">
        <v>44</v>
      </c>
    </row>
    <row r="98" spans="1:26" x14ac:dyDescent="0.25">
      <c r="A98">
        <v>961</v>
      </c>
      <c r="B98">
        <v>139</v>
      </c>
      <c r="C98" t="s">
        <v>22</v>
      </c>
      <c r="D98" t="s">
        <v>42</v>
      </c>
      <c r="E98" t="s">
        <v>27</v>
      </c>
      <c r="F98" t="s">
        <v>122</v>
      </c>
      <c r="G98" t="str">
        <f>VLOOKUP(F98,Hospitals!E:H,4,FALSE)</f>
        <v>29.76741 , 74.89748</v>
      </c>
      <c r="H98" s="1">
        <v>45520</v>
      </c>
      <c r="I98" s="1">
        <v>45520</v>
      </c>
      <c r="J98">
        <v>5.0960000000000001</v>
      </c>
      <c r="K98">
        <v>4.734</v>
      </c>
      <c r="L98">
        <v>4.5449999999999999</v>
      </c>
      <c r="M98">
        <v>17.646999999999998</v>
      </c>
      <c r="N98">
        <v>13.042999999999999</v>
      </c>
      <c r="O98">
        <v>13.042999999999999</v>
      </c>
      <c r="P98">
        <v>17.646999999999998</v>
      </c>
      <c r="Q98">
        <v>13.042999999999999</v>
      </c>
      <c r="R98">
        <v>13.042999999999999</v>
      </c>
      <c r="S98">
        <v>0</v>
      </c>
      <c r="T98">
        <v>0</v>
      </c>
      <c r="U98">
        <v>0</v>
      </c>
      <c r="V98">
        <f t="shared" si="3"/>
        <v>10.0975</v>
      </c>
      <c r="W98">
        <f t="shared" si="4"/>
        <v>7.7050000000000001</v>
      </c>
      <c r="X98">
        <f t="shared" si="5"/>
        <v>7.6577500000000001</v>
      </c>
      <c r="Y98">
        <v>13</v>
      </c>
      <c r="Z98" s="2" t="s">
        <v>44</v>
      </c>
    </row>
    <row r="99" spans="1:26" x14ac:dyDescent="0.25">
      <c r="A99">
        <v>911</v>
      </c>
      <c r="B99">
        <v>14</v>
      </c>
      <c r="C99" t="s">
        <v>22</v>
      </c>
      <c r="D99" t="s">
        <v>23</v>
      </c>
      <c r="E99" t="s">
        <v>27</v>
      </c>
      <c r="F99" t="s">
        <v>123</v>
      </c>
      <c r="G99" t="str">
        <f>VLOOKUP(F99,Hospitals!E:H,4,FALSE)</f>
        <v>30.37428 , 77.09605</v>
      </c>
      <c r="H99" s="1">
        <v>45491</v>
      </c>
      <c r="I99" s="1">
        <v>45491</v>
      </c>
      <c r="J99">
        <v>15.923999999999999</v>
      </c>
      <c r="K99">
        <v>14.792999999999999</v>
      </c>
      <c r="L99">
        <v>14.205</v>
      </c>
      <c r="M99">
        <v>11.765000000000001</v>
      </c>
      <c r="N99">
        <v>8.6959999999999997</v>
      </c>
      <c r="O99">
        <v>8.6959999999999997</v>
      </c>
      <c r="P99">
        <v>11.765000000000001</v>
      </c>
      <c r="Q99">
        <v>8.6959999999999997</v>
      </c>
      <c r="R99">
        <v>8.6959999999999997</v>
      </c>
      <c r="S99">
        <v>0</v>
      </c>
      <c r="T99">
        <v>0</v>
      </c>
      <c r="U99">
        <v>0</v>
      </c>
      <c r="V99">
        <f t="shared" si="3"/>
        <v>9.8635000000000002</v>
      </c>
      <c r="W99">
        <f t="shared" si="4"/>
        <v>8.0462499999999988</v>
      </c>
      <c r="X99">
        <f t="shared" si="5"/>
        <v>7.8992500000000003</v>
      </c>
      <c r="Y99">
        <v>13</v>
      </c>
      <c r="Z99" s="2" t="s">
        <v>26</v>
      </c>
    </row>
    <row r="100" spans="1:26" x14ac:dyDescent="0.25">
      <c r="A100">
        <v>1060</v>
      </c>
      <c r="B100">
        <v>140</v>
      </c>
      <c r="C100" t="s">
        <v>22</v>
      </c>
      <c r="D100" t="s">
        <v>42</v>
      </c>
      <c r="E100" t="s">
        <v>27</v>
      </c>
      <c r="F100" t="s">
        <v>124</v>
      </c>
      <c r="G100" t="str">
        <f>VLOOKUP(F100,Hospitals!E:H,4,FALSE)</f>
        <v>29.3634 , 75.87758</v>
      </c>
      <c r="H100" s="1">
        <v>45560</v>
      </c>
      <c r="I100" s="1">
        <v>45560</v>
      </c>
      <c r="J100">
        <v>7.6429999999999998</v>
      </c>
      <c r="K100">
        <v>7.101</v>
      </c>
      <c r="L100">
        <v>6.8179999999999996</v>
      </c>
      <c r="M100">
        <v>29.411999999999999</v>
      </c>
      <c r="N100">
        <v>26.087</v>
      </c>
      <c r="O100">
        <v>26.087</v>
      </c>
      <c r="P100">
        <v>29.411999999999999</v>
      </c>
      <c r="Q100">
        <v>26.087</v>
      </c>
      <c r="R100">
        <v>26.087</v>
      </c>
      <c r="S100">
        <v>0</v>
      </c>
      <c r="T100">
        <v>0</v>
      </c>
      <c r="U100">
        <v>0</v>
      </c>
      <c r="V100">
        <f t="shared" si="3"/>
        <v>16.61675</v>
      </c>
      <c r="W100">
        <f t="shared" si="4"/>
        <v>14.818750000000001</v>
      </c>
      <c r="X100">
        <f t="shared" si="5"/>
        <v>14.748000000000001</v>
      </c>
      <c r="Y100">
        <v>13</v>
      </c>
      <c r="Z100" s="2" t="s">
        <v>44</v>
      </c>
    </row>
    <row r="101" spans="1:26" x14ac:dyDescent="0.25">
      <c r="A101">
        <v>1066</v>
      </c>
      <c r="B101">
        <v>140</v>
      </c>
      <c r="C101" t="s">
        <v>22</v>
      </c>
      <c r="D101" t="s">
        <v>42</v>
      </c>
      <c r="E101" t="s">
        <v>27</v>
      </c>
      <c r="F101" t="s">
        <v>124</v>
      </c>
      <c r="G101" t="str">
        <f>VLOOKUP(F101,Hospitals!E:H,4,FALSE)</f>
        <v>29.3634 , 75.87758</v>
      </c>
      <c r="H101" s="1">
        <v>45560</v>
      </c>
      <c r="I101" t="s">
        <v>35</v>
      </c>
      <c r="J101">
        <v>7.6429999999999998</v>
      </c>
      <c r="K101">
        <v>7.101</v>
      </c>
      <c r="L101">
        <v>6.8179999999999996</v>
      </c>
      <c r="M101">
        <v>29.411999999999999</v>
      </c>
      <c r="N101">
        <v>26.087</v>
      </c>
      <c r="O101">
        <v>26.087</v>
      </c>
      <c r="P101">
        <v>29.411999999999999</v>
      </c>
      <c r="Q101">
        <v>26.087</v>
      </c>
      <c r="R101">
        <v>26.087</v>
      </c>
      <c r="S101">
        <v>0</v>
      </c>
      <c r="T101">
        <v>0</v>
      </c>
      <c r="U101">
        <v>0</v>
      </c>
      <c r="V101">
        <f t="shared" si="3"/>
        <v>16.61675</v>
      </c>
      <c r="W101">
        <f t="shared" si="4"/>
        <v>14.818750000000001</v>
      </c>
      <c r="X101">
        <f t="shared" si="5"/>
        <v>14.748000000000001</v>
      </c>
      <c r="Y101">
        <v>13</v>
      </c>
      <c r="Z101" s="2" t="s">
        <v>44</v>
      </c>
    </row>
    <row r="102" spans="1:26" x14ac:dyDescent="0.25">
      <c r="A102">
        <v>325</v>
      </c>
      <c r="B102">
        <v>141</v>
      </c>
      <c r="C102" t="s">
        <v>22</v>
      </c>
      <c r="D102" t="s">
        <v>42</v>
      </c>
      <c r="E102" t="s">
        <v>125</v>
      </c>
      <c r="F102" t="s">
        <v>126</v>
      </c>
      <c r="G102" t="str">
        <f>VLOOKUP(F102,Hospitals!E:H,4,FALSE)</f>
        <v>29.14643 , 75.74877</v>
      </c>
      <c r="H102" s="1">
        <v>45380</v>
      </c>
      <c r="I102" s="1">
        <v>45380</v>
      </c>
      <c r="J102">
        <v>98.725999999999999</v>
      </c>
      <c r="K102">
        <v>97.632999999999996</v>
      </c>
      <c r="L102">
        <v>96.022999999999996</v>
      </c>
      <c r="M102">
        <v>100</v>
      </c>
      <c r="N102">
        <v>95.652000000000001</v>
      </c>
      <c r="O102">
        <v>95.652000000000001</v>
      </c>
      <c r="P102">
        <v>100</v>
      </c>
      <c r="Q102">
        <v>95.652000000000001</v>
      </c>
      <c r="R102">
        <v>95.652000000000001</v>
      </c>
      <c r="S102">
        <v>10</v>
      </c>
      <c r="T102">
        <v>16.667000000000002</v>
      </c>
      <c r="U102">
        <v>7.1429999999999998</v>
      </c>
      <c r="V102">
        <f t="shared" si="3"/>
        <v>77.1815</v>
      </c>
      <c r="W102">
        <f t="shared" si="4"/>
        <v>76.40100000000001</v>
      </c>
      <c r="X102">
        <f t="shared" si="5"/>
        <v>73.617499999999993</v>
      </c>
      <c r="Y102">
        <v>13</v>
      </c>
      <c r="Z102" s="2" t="s">
        <v>44</v>
      </c>
    </row>
    <row r="103" spans="1:26" x14ac:dyDescent="0.25">
      <c r="A103">
        <v>1152</v>
      </c>
      <c r="B103">
        <v>141</v>
      </c>
      <c r="C103" t="s">
        <v>22</v>
      </c>
      <c r="D103" t="s">
        <v>42</v>
      </c>
      <c r="E103" t="s">
        <v>125</v>
      </c>
      <c r="F103" t="s">
        <v>126</v>
      </c>
      <c r="G103" t="str">
        <f>VLOOKUP(F103,Hospitals!E:H,4,FALSE)</f>
        <v>29.14643 , 75.74877</v>
      </c>
      <c r="H103" s="1">
        <v>45681</v>
      </c>
      <c r="I103" s="1">
        <v>45681</v>
      </c>
      <c r="J103">
        <v>98.725999999999999</v>
      </c>
      <c r="K103">
        <v>97.632999999999996</v>
      </c>
      <c r="L103">
        <v>96.022999999999996</v>
      </c>
      <c r="M103">
        <v>100</v>
      </c>
      <c r="N103">
        <v>95.652000000000001</v>
      </c>
      <c r="O103">
        <v>95.652000000000001</v>
      </c>
      <c r="P103">
        <v>100</v>
      </c>
      <c r="Q103">
        <v>95.652000000000001</v>
      </c>
      <c r="R103">
        <v>95.652000000000001</v>
      </c>
      <c r="S103">
        <v>10</v>
      </c>
      <c r="T103">
        <v>16.667000000000002</v>
      </c>
      <c r="U103">
        <v>7.1429999999999998</v>
      </c>
      <c r="V103">
        <f t="shared" si="3"/>
        <v>77.1815</v>
      </c>
      <c r="W103">
        <f t="shared" si="4"/>
        <v>76.40100000000001</v>
      </c>
      <c r="X103">
        <f t="shared" si="5"/>
        <v>73.617499999999993</v>
      </c>
      <c r="Y103">
        <v>13</v>
      </c>
      <c r="Z103" s="2" t="s">
        <v>44</v>
      </c>
    </row>
    <row r="104" spans="1:26" x14ac:dyDescent="0.25">
      <c r="A104">
        <v>310</v>
      </c>
      <c r="B104">
        <v>148</v>
      </c>
      <c r="C104" t="s">
        <v>22</v>
      </c>
      <c r="D104" t="s">
        <v>42</v>
      </c>
      <c r="E104" t="s">
        <v>125</v>
      </c>
      <c r="F104" t="s">
        <v>127</v>
      </c>
      <c r="G104" t="str">
        <f>VLOOKUP(F104,Hospitals!E:H,4,FALSE)</f>
        <v>28.64251 , 77.08672</v>
      </c>
      <c r="H104" s="1">
        <v>45638</v>
      </c>
      <c r="I104" s="1">
        <v>45638</v>
      </c>
      <c r="J104">
        <v>57.962000000000003</v>
      </c>
      <c r="K104">
        <v>56.805</v>
      </c>
      <c r="L104">
        <v>54.545000000000002</v>
      </c>
      <c r="M104">
        <v>47.058999999999997</v>
      </c>
      <c r="N104">
        <v>43.478000000000002</v>
      </c>
      <c r="O104">
        <v>43.478000000000002</v>
      </c>
      <c r="P104">
        <v>47.058999999999997</v>
      </c>
      <c r="Q104">
        <v>43.478000000000002</v>
      </c>
      <c r="R104">
        <v>43.478000000000002</v>
      </c>
      <c r="S104">
        <v>0</v>
      </c>
      <c r="T104">
        <v>0</v>
      </c>
      <c r="U104">
        <v>7.1429999999999998</v>
      </c>
      <c r="V104">
        <f t="shared" si="3"/>
        <v>38.019999999999996</v>
      </c>
      <c r="W104">
        <f t="shared" si="4"/>
        <v>35.940249999999999</v>
      </c>
      <c r="X104">
        <f t="shared" si="5"/>
        <v>37.161000000000001</v>
      </c>
      <c r="Y104">
        <v>13</v>
      </c>
      <c r="Z104" s="2" t="s">
        <v>44</v>
      </c>
    </row>
    <row r="105" spans="1:26" x14ac:dyDescent="0.25">
      <c r="A105">
        <v>899</v>
      </c>
      <c r="B105">
        <v>15</v>
      </c>
      <c r="C105" t="s">
        <v>22</v>
      </c>
      <c r="D105" t="s">
        <v>23</v>
      </c>
      <c r="E105" t="s">
        <v>27</v>
      </c>
      <c r="F105" t="s">
        <v>128</v>
      </c>
      <c r="G105" t="str">
        <f>VLOOKUP(F105,Hospitals!E:H,4,FALSE)</f>
        <v>30.40687 , 76.84924</v>
      </c>
      <c r="H105" s="1">
        <v>45488</v>
      </c>
      <c r="I105" s="1">
        <v>45488</v>
      </c>
      <c r="J105">
        <v>24.204000000000001</v>
      </c>
      <c r="K105">
        <v>22.484999999999999</v>
      </c>
      <c r="L105">
        <v>21.591000000000001</v>
      </c>
      <c r="M105">
        <v>11.765000000000001</v>
      </c>
      <c r="N105">
        <v>8.6959999999999997</v>
      </c>
      <c r="O105">
        <v>8.6959999999999997</v>
      </c>
      <c r="P105">
        <v>11.765000000000001</v>
      </c>
      <c r="Q105">
        <v>8.6959999999999997</v>
      </c>
      <c r="R105">
        <v>8.6959999999999997</v>
      </c>
      <c r="S105">
        <v>0</v>
      </c>
      <c r="T105">
        <v>0</v>
      </c>
      <c r="U105">
        <v>0</v>
      </c>
      <c r="V105">
        <f t="shared" si="3"/>
        <v>11.9335</v>
      </c>
      <c r="W105">
        <f t="shared" si="4"/>
        <v>9.9692499999999988</v>
      </c>
      <c r="X105">
        <f t="shared" si="5"/>
        <v>9.7457499999999992</v>
      </c>
      <c r="Y105">
        <v>13</v>
      </c>
      <c r="Z105" s="2" t="s">
        <v>26</v>
      </c>
    </row>
    <row r="106" spans="1:26" x14ac:dyDescent="0.25">
      <c r="A106">
        <v>829</v>
      </c>
      <c r="B106">
        <v>151</v>
      </c>
      <c r="C106" t="s">
        <v>22</v>
      </c>
      <c r="D106" t="s">
        <v>42</v>
      </c>
      <c r="E106" t="s">
        <v>125</v>
      </c>
      <c r="F106" t="s">
        <v>129</v>
      </c>
      <c r="G106" t="str">
        <f>VLOOKUP(F106,Hospitals!E:H,4,FALSE)</f>
        <v>29.1413 , 75.73265</v>
      </c>
      <c r="H106" s="1">
        <v>45553</v>
      </c>
      <c r="I106" s="1">
        <v>45553</v>
      </c>
      <c r="J106">
        <v>97.451999999999998</v>
      </c>
      <c r="K106">
        <v>97.632999999999996</v>
      </c>
      <c r="L106">
        <v>97.159000000000006</v>
      </c>
      <c r="M106">
        <v>88.234999999999999</v>
      </c>
      <c r="N106">
        <v>91.304000000000002</v>
      </c>
      <c r="O106">
        <v>91.304000000000002</v>
      </c>
      <c r="P106">
        <v>88.234999999999999</v>
      </c>
      <c r="Q106">
        <v>91.304000000000002</v>
      </c>
      <c r="R106">
        <v>91.304000000000002</v>
      </c>
      <c r="S106">
        <v>70</v>
      </c>
      <c r="T106">
        <v>75</v>
      </c>
      <c r="U106">
        <v>42.856999999999999</v>
      </c>
      <c r="V106">
        <f t="shared" si="3"/>
        <v>85.980500000000006</v>
      </c>
      <c r="W106">
        <f t="shared" si="4"/>
        <v>88.810249999999996</v>
      </c>
      <c r="X106">
        <f t="shared" si="5"/>
        <v>80.656000000000006</v>
      </c>
      <c r="Y106">
        <v>13</v>
      </c>
      <c r="Z106" s="2" t="s">
        <v>44</v>
      </c>
    </row>
    <row r="107" spans="1:26" x14ac:dyDescent="0.25">
      <c r="A107">
        <v>1151</v>
      </c>
      <c r="B107">
        <v>151</v>
      </c>
      <c r="C107" t="s">
        <v>22</v>
      </c>
      <c r="D107" t="s">
        <v>42</v>
      </c>
      <c r="E107" t="s">
        <v>125</v>
      </c>
      <c r="F107" t="s">
        <v>129</v>
      </c>
      <c r="G107" t="str">
        <f>VLOOKUP(F107,Hospitals!E:H,4,FALSE)</f>
        <v>29.1413 , 75.73265</v>
      </c>
      <c r="H107" s="1">
        <v>45681</v>
      </c>
      <c r="I107" t="s">
        <v>35</v>
      </c>
      <c r="J107">
        <v>97.451999999999998</v>
      </c>
      <c r="K107">
        <v>97.632999999999996</v>
      </c>
      <c r="L107">
        <v>97.159000000000006</v>
      </c>
      <c r="M107">
        <v>88.234999999999999</v>
      </c>
      <c r="N107">
        <v>91.304000000000002</v>
      </c>
      <c r="O107">
        <v>91.304000000000002</v>
      </c>
      <c r="P107">
        <v>88.234999999999999</v>
      </c>
      <c r="Q107">
        <v>91.304000000000002</v>
      </c>
      <c r="R107">
        <v>91.304000000000002</v>
      </c>
      <c r="S107">
        <v>70</v>
      </c>
      <c r="T107">
        <v>75</v>
      </c>
      <c r="U107">
        <v>42.856999999999999</v>
      </c>
      <c r="V107">
        <f t="shared" si="3"/>
        <v>85.980500000000006</v>
      </c>
      <c r="W107">
        <f t="shared" si="4"/>
        <v>88.810249999999996</v>
      </c>
      <c r="X107">
        <f t="shared" si="5"/>
        <v>80.656000000000006</v>
      </c>
      <c r="Y107">
        <v>13</v>
      </c>
      <c r="Z107" s="2" t="s">
        <v>44</v>
      </c>
    </row>
    <row r="108" spans="1:26" x14ac:dyDescent="0.25">
      <c r="A108">
        <v>814</v>
      </c>
      <c r="B108">
        <v>153</v>
      </c>
      <c r="C108" t="s">
        <v>22</v>
      </c>
      <c r="D108" t="s">
        <v>42</v>
      </c>
      <c r="E108" t="s">
        <v>125</v>
      </c>
      <c r="F108" t="s">
        <v>130</v>
      </c>
      <c r="G108" t="str">
        <f>VLOOKUP(F108,Hospitals!E:H,4,FALSE)</f>
        <v>29.12291 , 75.7226</v>
      </c>
      <c r="H108" s="1">
        <v>45684</v>
      </c>
      <c r="I108" s="1">
        <v>45684</v>
      </c>
      <c r="J108">
        <v>96.814999999999998</v>
      </c>
      <c r="K108">
        <v>96.45</v>
      </c>
      <c r="L108">
        <v>95.454999999999998</v>
      </c>
      <c r="M108">
        <v>82.352999999999994</v>
      </c>
      <c r="N108">
        <v>82.608999999999995</v>
      </c>
      <c r="O108">
        <v>82.608999999999995</v>
      </c>
      <c r="P108">
        <v>82.352999999999994</v>
      </c>
      <c r="Q108">
        <v>82.608999999999995</v>
      </c>
      <c r="R108">
        <v>82.608999999999995</v>
      </c>
      <c r="S108">
        <v>10</v>
      </c>
      <c r="T108">
        <v>16.667000000000002</v>
      </c>
      <c r="U108">
        <v>7.1429999999999998</v>
      </c>
      <c r="V108">
        <f t="shared" si="3"/>
        <v>67.880250000000004</v>
      </c>
      <c r="W108">
        <f t="shared" si="4"/>
        <v>69.583750000000009</v>
      </c>
      <c r="X108">
        <f t="shared" si="5"/>
        <v>66.953999999999994</v>
      </c>
      <c r="Y108">
        <v>13</v>
      </c>
      <c r="Z108" s="2" t="s">
        <v>44</v>
      </c>
    </row>
    <row r="109" spans="1:26" x14ac:dyDescent="0.25">
      <c r="A109">
        <v>329</v>
      </c>
      <c r="B109">
        <v>159</v>
      </c>
      <c r="C109" t="s">
        <v>22</v>
      </c>
      <c r="D109" t="s">
        <v>42</v>
      </c>
      <c r="E109" t="s">
        <v>125</v>
      </c>
      <c r="F109" t="s">
        <v>131</v>
      </c>
      <c r="G109" t="e">
        <f>VLOOKUP(F109,Hospitals!E:H,4,FALSE)</f>
        <v>#N/A</v>
      </c>
      <c r="H109" s="1">
        <v>45370</v>
      </c>
      <c r="I109" s="1">
        <v>45370</v>
      </c>
      <c r="J109">
        <v>99.363</v>
      </c>
      <c r="K109">
        <v>98.816999999999993</v>
      </c>
      <c r="L109">
        <v>98.864000000000004</v>
      </c>
      <c r="M109">
        <v>100</v>
      </c>
      <c r="N109">
        <v>95.652000000000001</v>
      </c>
      <c r="O109">
        <v>95.652000000000001</v>
      </c>
      <c r="P109">
        <v>100</v>
      </c>
      <c r="Q109">
        <v>95.652000000000001</v>
      </c>
      <c r="R109">
        <v>95.652000000000001</v>
      </c>
      <c r="S109">
        <v>60</v>
      </c>
      <c r="T109">
        <v>58.332999999999998</v>
      </c>
      <c r="U109">
        <v>28.571000000000002</v>
      </c>
      <c r="V109">
        <f t="shared" si="3"/>
        <v>89.84075</v>
      </c>
      <c r="W109">
        <f t="shared" si="4"/>
        <v>87.113499999999988</v>
      </c>
      <c r="X109">
        <f t="shared" si="5"/>
        <v>79.684750000000008</v>
      </c>
      <c r="Y109">
        <v>13</v>
      </c>
      <c r="Z109" s="2" t="s">
        <v>44</v>
      </c>
    </row>
    <row r="110" spans="1:26" x14ac:dyDescent="0.25">
      <c r="A110">
        <v>311</v>
      </c>
      <c r="B110">
        <v>159</v>
      </c>
      <c r="C110" t="s">
        <v>22</v>
      </c>
      <c r="D110" t="s">
        <v>42</v>
      </c>
      <c r="E110" t="s">
        <v>125</v>
      </c>
      <c r="F110" t="s">
        <v>131</v>
      </c>
      <c r="G110" t="e">
        <f>VLOOKUP(F110,Hospitals!E:H,4,FALSE)</f>
        <v>#N/A</v>
      </c>
      <c r="H110" s="1">
        <v>45355</v>
      </c>
      <c r="I110" s="1">
        <v>45357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f t="shared" si="3"/>
        <v>0</v>
      </c>
      <c r="W110">
        <f t="shared" si="4"/>
        <v>0</v>
      </c>
      <c r="X110">
        <f t="shared" si="5"/>
        <v>0</v>
      </c>
      <c r="Y110">
        <v>13</v>
      </c>
      <c r="Z110" s="2" t="s">
        <v>44</v>
      </c>
    </row>
    <row r="111" spans="1:26" x14ac:dyDescent="0.25">
      <c r="A111">
        <v>771</v>
      </c>
      <c r="B111">
        <v>16</v>
      </c>
      <c r="C111" t="s">
        <v>22</v>
      </c>
      <c r="D111" t="s">
        <v>23</v>
      </c>
      <c r="E111" t="s">
        <v>27</v>
      </c>
      <c r="F111" t="s">
        <v>132</v>
      </c>
      <c r="G111" t="str">
        <f>VLOOKUP(F111,Hospitals!E:H,4,FALSE)</f>
        <v>30.28297 , 76.71056</v>
      </c>
      <c r="H111" s="1">
        <v>45441</v>
      </c>
      <c r="I111" s="1">
        <v>45441</v>
      </c>
      <c r="J111">
        <v>39.49</v>
      </c>
      <c r="K111">
        <v>37.277999999999999</v>
      </c>
      <c r="L111">
        <v>35.795000000000002</v>
      </c>
      <c r="M111">
        <v>29.411999999999999</v>
      </c>
      <c r="N111">
        <v>21.739000000000001</v>
      </c>
      <c r="O111">
        <v>21.739000000000001</v>
      </c>
      <c r="P111">
        <v>29.411999999999999</v>
      </c>
      <c r="Q111">
        <v>21.739000000000001</v>
      </c>
      <c r="R111">
        <v>21.739000000000001</v>
      </c>
      <c r="S111">
        <v>0</v>
      </c>
      <c r="T111">
        <v>0</v>
      </c>
      <c r="U111">
        <v>0</v>
      </c>
      <c r="V111">
        <f t="shared" si="3"/>
        <v>24.578499999999998</v>
      </c>
      <c r="W111">
        <f t="shared" si="4"/>
        <v>20.189</v>
      </c>
      <c r="X111">
        <f t="shared" si="5"/>
        <v>19.818250000000003</v>
      </c>
      <c r="Y111">
        <v>13</v>
      </c>
      <c r="Z111" s="2" t="s">
        <v>26</v>
      </c>
    </row>
    <row r="112" spans="1:26" x14ac:dyDescent="0.25">
      <c r="A112">
        <v>1146</v>
      </c>
      <c r="B112">
        <v>161</v>
      </c>
      <c r="C112" t="s">
        <v>22</v>
      </c>
      <c r="D112" t="s">
        <v>42</v>
      </c>
      <c r="E112" t="s">
        <v>125</v>
      </c>
      <c r="F112" t="s">
        <v>133</v>
      </c>
      <c r="G112" t="str">
        <f>VLOOKUP(F112,Hospitals!E:H,4,FALSE)</f>
        <v>30.15485 , 77.30833</v>
      </c>
      <c r="H112" s="1">
        <v>45694</v>
      </c>
      <c r="I112" t="s">
        <v>35</v>
      </c>
      <c r="J112">
        <v>84.712999999999994</v>
      </c>
      <c r="K112">
        <v>83.432000000000002</v>
      </c>
      <c r="L112">
        <v>82.385999999999996</v>
      </c>
      <c r="M112">
        <v>58.823999999999998</v>
      </c>
      <c r="N112">
        <v>60.87</v>
      </c>
      <c r="O112">
        <v>60.87</v>
      </c>
      <c r="P112">
        <v>58.823999999999998</v>
      </c>
      <c r="Q112">
        <v>60.87</v>
      </c>
      <c r="R112">
        <v>60.87</v>
      </c>
      <c r="S112">
        <v>0</v>
      </c>
      <c r="T112">
        <v>0</v>
      </c>
      <c r="U112">
        <v>0</v>
      </c>
      <c r="V112">
        <f t="shared" si="3"/>
        <v>50.590249999999997</v>
      </c>
      <c r="W112">
        <f t="shared" si="4"/>
        <v>51.292999999999999</v>
      </c>
      <c r="X112">
        <f t="shared" si="5"/>
        <v>51.031500000000001</v>
      </c>
      <c r="Y112">
        <v>13</v>
      </c>
      <c r="Z112" s="2" t="s">
        <v>44</v>
      </c>
    </row>
    <row r="113" spans="1:26" x14ac:dyDescent="0.25">
      <c r="A113">
        <v>847</v>
      </c>
      <c r="B113">
        <v>162</v>
      </c>
      <c r="C113" t="s">
        <v>22</v>
      </c>
      <c r="D113" t="s">
        <v>42</v>
      </c>
      <c r="E113" t="s">
        <v>77</v>
      </c>
      <c r="F113" t="s">
        <v>134</v>
      </c>
      <c r="G113" t="str">
        <f>VLOOKUP(F113,Hospitals!E:H,4,FALSE)</f>
        <v>29.09333 , 75.95596</v>
      </c>
      <c r="H113" s="1">
        <v>45554</v>
      </c>
      <c r="I113" s="1">
        <v>45554</v>
      </c>
      <c r="J113">
        <v>56.688000000000002</v>
      </c>
      <c r="K113">
        <v>54.438000000000002</v>
      </c>
      <c r="L113">
        <v>53.408999999999999</v>
      </c>
      <c r="M113">
        <v>58.823999999999998</v>
      </c>
      <c r="N113">
        <v>43.478000000000002</v>
      </c>
      <c r="O113">
        <v>43.478000000000002</v>
      </c>
      <c r="P113">
        <v>58.823999999999998</v>
      </c>
      <c r="Q113">
        <v>43.478000000000002</v>
      </c>
      <c r="R113">
        <v>43.478000000000002</v>
      </c>
      <c r="S113">
        <v>10</v>
      </c>
      <c r="T113">
        <v>8.3330000000000002</v>
      </c>
      <c r="U113">
        <v>7.1429999999999998</v>
      </c>
      <c r="V113">
        <f t="shared" si="3"/>
        <v>46.084000000000003</v>
      </c>
      <c r="W113">
        <f t="shared" si="4"/>
        <v>37.431750000000001</v>
      </c>
      <c r="X113">
        <f t="shared" si="5"/>
        <v>36.877000000000002</v>
      </c>
      <c r="Y113">
        <v>13</v>
      </c>
      <c r="Z113" s="2" t="s">
        <v>44</v>
      </c>
    </row>
    <row r="114" spans="1:26" x14ac:dyDescent="0.25">
      <c r="A114">
        <v>837</v>
      </c>
      <c r="B114">
        <v>163</v>
      </c>
      <c r="C114" t="s">
        <v>22</v>
      </c>
      <c r="D114" t="s">
        <v>42</v>
      </c>
      <c r="E114" t="s">
        <v>77</v>
      </c>
      <c r="F114" t="s">
        <v>135</v>
      </c>
      <c r="G114" t="str">
        <f>VLOOKUP(F114,Hospitals!E:H,4,FALSE)</f>
        <v>29.28447 , 75.49563</v>
      </c>
      <c r="H114" s="1">
        <v>45575</v>
      </c>
      <c r="I114" s="1">
        <v>45575</v>
      </c>
      <c r="J114">
        <v>52.866</v>
      </c>
      <c r="K114">
        <v>49.112000000000002</v>
      </c>
      <c r="L114">
        <v>47.158999999999999</v>
      </c>
      <c r="M114">
        <v>64.706000000000003</v>
      </c>
      <c r="N114">
        <v>47.826000000000001</v>
      </c>
      <c r="O114">
        <v>47.826000000000001</v>
      </c>
      <c r="P114">
        <v>64.706000000000003</v>
      </c>
      <c r="Q114">
        <v>47.826000000000001</v>
      </c>
      <c r="R114">
        <v>47.826000000000001</v>
      </c>
      <c r="S114">
        <v>20</v>
      </c>
      <c r="T114">
        <v>8.3330000000000002</v>
      </c>
      <c r="U114">
        <v>7.1429999999999998</v>
      </c>
      <c r="V114">
        <f t="shared" si="3"/>
        <v>50.569500000000005</v>
      </c>
      <c r="W114">
        <f t="shared" si="4"/>
        <v>38.274250000000002</v>
      </c>
      <c r="X114">
        <f t="shared" si="5"/>
        <v>37.488500000000002</v>
      </c>
      <c r="Y114">
        <v>13</v>
      </c>
      <c r="Z114" s="2" t="s">
        <v>44</v>
      </c>
    </row>
    <row r="115" spans="1:26" x14ac:dyDescent="0.25">
      <c r="A115">
        <v>306</v>
      </c>
      <c r="B115">
        <v>164</v>
      </c>
      <c r="C115" t="s">
        <v>22</v>
      </c>
      <c r="D115" t="s">
        <v>42</v>
      </c>
      <c r="E115" t="s">
        <v>125</v>
      </c>
      <c r="F115" t="s">
        <v>136</v>
      </c>
      <c r="G115" t="str">
        <f>VLOOKUP(F115,Hospitals!E:H,4,FALSE)</f>
        <v>29.16573 , 75.71986</v>
      </c>
      <c r="H115" s="1">
        <v>45607</v>
      </c>
      <c r="I115" s="1">
        <v>45607</v>
      </c>
      <c r="J115">
        <v>91.72</v>
      </c>
      <c r="K115">
        <v>92.308000000000007</v>
      </c>
      <c r="L115">
        <v>90.909000000000006</v>
      </c>
      <c r="M115">
        <v>100</v>
      </c>
      <c r="N115">
        <v>100</v>
      </c>
      <c r="O115">
        <v>100</v>
      </c>
      <c r="P115">
        <v>100</v>
      </c>
      <c r="Q115">
        <v>100</v>
      </c>
      <c r="R115">
        <v>100</v>
      </c>
      <c r="S115">
        <v>60</v>
      </c>
      <c r="T115">
        <v>66.667000000000002</v>
      </c>
      <c r="U115">
        <v>42.856999999999999</v>
      </c>
      <c r="V115">
        <f t="shared" si="3"/>
        <v>87.93</v>
      </c>
      <c r="W115">
        <f t="shared" si="4"/>
        <v>89.743750000000006</v>
      </c>
      <c r="X115">
        <f t="shared" si="5"/>
        <v>83.441499999999991</v>
      </c>
      <c r="Y115">
        <v>13</v>
      </c>
      <c r="Z115" s="2" t="s">
        <v>44</v>
      </c>
    </row>
    <row r="116" spans="1:26" x14ac:dyDescent="0.25">
      <c r="A116">
        <v>903</v>
      </c>
      <c r="B116">
        <v>17</v>
      </c>
      <c r="C116" t="s">
        <v>22</v>
      </c>
      <c r="D116" t="s">
        <v>23</v>
      </c>
      <c r="E116" t="s">
        <v>27</v>
      </c>
      <c r="F116" t="s">
        <v>137</v>
      </c>
      <c r="G116" t="str">
        <f>VLOOKUP(F116,Hospitals!E:H,4,FALSE)</f>
        <v>30.28297 , 76.71056</v>
      </c>
      <c r="H116" s="1">
        <v>45495</v>
      </c>
      <c r="I116" s="1">
        <v>45495</v>
      </c>
      <c r="J116">
        <v>13.375999999999999</v>
      </c>
      <c r="K116">
        <v>13.018000000000001</v>
      </c>
      <c r="L116">
        <v>12.5</v>
      </c>
      <c r="M116">
        <v>17.646999999999998</v>
      </c>
      <c r="N116">
        <v>13.042999999999999</v>
      </c>
      <c r="O116">
        <v>13.042999999999999</v>
      </c>
      <c r="P116">
        <v>17.646999999999998</v>
      </c>
      <c r="Q116">
        <v>13.042999999999999</v>
      </c>
      <c r="R116">
        <v>13.042999999999999</v>
      </c>
      <c r="S116">
        <v>0</v>
      </c>
      <c r="T116">
        <v>0</v>
      </c>
      <c r="U116">
        <v>0</v>
      </c>
      <c r="V116">
        <f t="shared" si="3"/>
        <v>12.167499999999999</v>
      </c>
      <c r="W116">
        <f t="shared" si="4"/>
        <v>9.7759999999999998</v>
      </c>
      <c r="X116">
        <f t="shared" si="5"/>
        <v>9.6464999999999996</v>
      </c>
      <c r="Y116">
        <v>13</v>
      </c>
      <c r="Z116" s="2" t="s">
        <v>26</v>
      </c>
    </row>
    <row r="117" spans="1:26" x14ac:dyDescent="0.25">
      <c r="A117">
        <v>822</v>
      </c>
      <c r="B117">
        <v>171</v>
      </c>
      <c r="C117" t="s">
        <v>22</v>
      </c>
      <c r="D117" t="s">
        <v>42</v>
      </c>
      <c r="E117" t="s">
        <v>77</v>
      </c>
      <c r="F117" t="s">
        <v>138</v>
      </c>
      <c r="G117" t="str">
        <f>VLOOKUP(F117,Hospitals!E:H,4,FALSE)</f>
        <v>29.43055 , 74.92088</v>
      </c>
      <c r="H117" s="1">
        <v>45572</v>
      </c>
      <c r="I117" s="1">
        <v>45572</v>
      </c>
      <c r="J117">
        <v>45.86</v>
      </c>
      <c r="K117">
        <v>43.786999999999999</v>
      </c>
      <c r="L117">
        <v>42.613999999999997</v>
      </c>
      <c r="M117">
        <v>52.941000000000003</v>
      </c>
      <c r="N117">
        <v>39.130000000000003</v>
      </c>
      <c r="O117">
        <v>39.130000000000003</v>
      </c>
      <c r="P117">
        <v>52.941000000000003</v>
      </c>
      <c r="Q117">
        <v>39.130000000000003</v>
      </c>
      <c r="R117">
        <v>39.130000000000003</v>
      </c>
      <c r="S117">
        <v>30</v>
      </c>
      <c r="T117">
        <v>16.667000000000002</v>
      </c>
      <c r="U117">
        <v>14.286</v>
      </c>
      <c r="V117">
        <f t="shared" si="3"/>
        <v>45.435500000000005</v>
      </c>
      <c r="W117">
        <f t="shared" si="4"/>
        <v>34.6785</v>
      </c>
      <c r="X117">
        <f t="shared" si="5"/>
        <v>33.79</v>
      </c>
      <c r="Y117">
        <v>13</v>
      </c>
      <c r="Z117" s="2" t="s">
        <v>44</v>
      </c>
    </row>
    <row r="118" spans="1:26" x14ac:dyDescent="0.25">
      <c r="A118">
        <v>1126</v>
      </c>
      <c r="B118">
        <v>175</v>
      </c>
      <c r="C118" t="s">
        <v>22</v>
      </c>
      <c r="D118" t="s">
        <v>42</v>
      </c>
      <c r="E118" t="s">
        <v>125</v>
      </c>
      <c r="F118" t="s">
        <v>139</v>
      </c>
      <c r="G118" t="str">
        <f>VLOOKUP(F118,Hospitals!E:H,4,FALSE)</f>
        <v>29.11882 , 75.6998</v>
      </c>
      <c r="H118" s="1">
        <v>45689</v>
      </c>
      <c r="I118" s="1">
        <v>45689</v>
      </c>
      <c r="J118">
        <v>85.986999999999995</v>
      </c>
      <c r="K118">
        <v>82.84</v>
      </c>
      <c r="L118">
        <v>80.114000000000004</v>
      </c>
      <c r="M118">
        <v>70.587999999999994</v>
      </c>
      <c r="N118">
        <v>69.564999999999998</v>
      </c>
      <c r="O118">
        <v>69.564999999999998</v>
      </c>
      <c r="P118">
        <v>70.587999999999994</v>
      </c>
      <c r="Q118">
        <v>69.564999999999998</v>
      </c>
      <c r="R118">
        <v>69.564999999999998</v>
      </c>
      <c r="S118">
        <v>20</v>
      </c>
      <c r="T118">
        <v>8.3330000000000002</v>
      </c>
      <c r="U118">
        <v>0</v>
      </c>
      <c r="V118">
        <f t="shared" si="3"/>
        <v>61.790749999999996</v>
      </c>
      <c r="W118">
        <f t="shared" si="4"/>
        <v>57.575749999999999</v>
      </c>
      <c r="X118">
        <f t="shared" si="5"/>
        <v>54.811</v>
      </c>
      <c r="Y118">
        <v>13</v>
      </c>
      <c r="Z118" s="2" t="s">
        <v>44</v>
      </c>
    </row>
    <row r="119" spans="1:26" x14ac:dyDescent="0.25">
      <c r="A119">
        <v>315</v>
      </c>
      <c r="B119">
        <v>176</v>
      </c>
      <c r="C119" t="s">
        <v>22</v>
      </c>
      <c r="D119" t="s">
        <v>140</v>
      </c>
      <c r="E119" t="s">
        <v>24</v>
      </c>
      <c r="F119" t="s">
        <v>141</v>
      </c>
      <c r="G119" t="str">
        <f>VLOOKUP(F119,Hospitals!E:H,4,FALSE)</f>
        <v>30.37759 , 76.86056</v>
      </c>
      <c r="H119" s="1">
        <v>45377</v>
      </c>
      <c r="I119" s="1">
        <v>45377</v>
      </c>
      <c r="J119">
        <v>14.65</v>
      </c>
      <c r="K119">
        <v>13.609</v>
      </c>
      <c r="L119">
        <v>13.068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f t="shared" si="3"/>
        <v>3.6625000000000001</v>
      </c>
      <c r="W119">
        <f t="shared" si="4"/>
        <v>3.40225</v>
      </c>
      <c r="X119">
        <f t="shared" si="5"/>
        <v>3.2669999999999999</v>
      </c>
      <c r="Y119">
        <v>13</v>
      </c>
      <c r="Z119" s="2" t="s">
        <v>142</v>
      </c>
    </row>
    <row r="120" spans="1:26" x14ac:dyDescent="0.25">
      <c r="A120">
        <v>314</v>
      </c>
      <c r="B120">
        <v>177</v>
      </c>
      <c r="C120" t="s">
        <v>22</v>
      </c>
      <c r="D120" t="s">
        <v>140</v>
      </c>
      <c r="E120" t="s">
        <v>24</v>
      </c>
      <c r="F120" t="s">
        <v>143</v>
      </c>
      <c r="G120" t="str">
        <f>VLOOKUP(F120,Hospitals!E:H,4,FALSE)</f>
        <v>30.30148 , 77.30244</v>
      </c>
      <c r="H120" s="1">
        <v>45363</v>
      </c>
      <c r="I120" s="1">
        <v>45363</v>
      </c>
      <c r="J120">
        <v>28.661999999999999</v>
      </c>
      <c r="K120">
        <v>27.219000000000001</v>
      </c>
      <c r="L120">
        <v>26.135999999999999</v>
      </c>
      <c r="M120">
        <v>11.765000000000001</v>
      </c>
      <c r="N120">
        <v>8.6959999999999997</v>
      </c>
      <c r="O120">
        <v>8.6959999999999997</v>
      </c>
      <c r="P120">
        <v>11.765000000000001</v>
      </c>
      <c r="Q120">
        <v>8.6959999999999997</v>
      </c>
      <c r="R120">
        <v>8.6959999999999997</v>
      </c>
      <c r="S120">
        <v>10</v>
      </c>
      <c r="T120">
        <v>0</v>
      </c>
      <c r="U120">
        <v>0</v>
      </c>
      <c r="V120">
        <f t="shared" si="3"/>
        <v>15.548</v>
      </c>
      <c r="W120">
        <f t="shared" si="4"/>
        <v>11.152749999999999</v>
      </c>
      <c r="X120">
        <f t="shared" si="5"/>
        <v>10.882</v>
      </c>
      <c r="Y120">
        <v>13</v>
      </c>
      <c r="Z120" s="2" t="s">
        <v>142</v>
      </c>
    </row>
    <row r="121" spans="1:26" x14ac:dyDescent="0.25">
      <c r="A121">
        <v>456</v>
      </c>
      <c r="B121">
        <v>177</v>
      </c>
      <c r="C121" t="s">
        <v>22</v>
      </c>
      <c r="D121" t="s">
        <v>140</v>
      </c>
      <c r="E121" t="s">
        <v>24</v>
      </c>
      <c r="F121" t="s">
        <v>143</v>
      </c>
      <c r="G121" t="str">
        <f>VLOOKUP(F121,Hospitals!E:H,4,FALSE)</f>
        <v>30.30148 , 77.30244</v>
      </c>
      <c r="H121" s="1">
        <v>45373</v>
      </c>
      <c r="I121" s="1">
        <v>45373</v>
      </c>
      <c r="J121">
        <v>42.037999999999997</v>
      </c>
      <c r="K121">
        <v>39.645000000000003</v>
      </c>
      <c r="L121">
        <v>38.067999999999998</v>
      </c>
      <c r="M121">
        <v>17.646999999999998</v>
      </c>
      <c r="N121">
        <v>13.042999999999999</v>
      </c>
      <c r="O121">
        <v>13.042999999999999</v>
      </c>
      <c r="P121">
        <v>17.646999999999998</v>
      </c>
      <c r="Q121">
        <v>13.042999999999999</v>
      </c>
      <c r="R121">
        <v>13.042999999999999</v>
      </c>
      <c r="S121">
        <v>10</v>
      </c>
      <c r="T121">
        <v>0</v>
      </c>
      <c r="U121">
        <v>0</v>
      </c>
      <c r="V121">
        <f t="shared" si="3"/>
        <v>21.832999999999998</v>
      </c>
      <c r="W121">
        <f t="shared" si="4"/>
        <v>16.432749999999999</v>
      </c>
      <c r="X121">
        <f t="shared" si="5"/>
        <v>16.038499999999999</v>
      </c>
      <c r="Y121">
        <v>13</v>
      </c>
      <c r="Z121" s="2" t="s">
        <v>142</v>
      </c>
    </row>
    <row r="122" spans="1:26" x14ac:dyDescent="0.25">
      <c r="A122">
        <v>393</v>
      </c>
      <c r="B122">
        <v>178</v>
      </c>
      <c r="C122" t="s">
        <v>22</v>
      </c>
      <c r="D122" t="s">
        <v>140</v>
      </c>
      <c r="E122" t="s">
        <v>24</v>
      </c>
      <c r="F122" t="s">
        <v>144</v>
      </c>
      <c r="G122" t="str">
        <f>VLOOKUP(F122,Hospitals!E:H,4,FALSE)</f>
        <v>30.39232 , 76.79836</v>
      </c>
      <c r="H122" s="1">
        <v>45371</v>
      </c>
      <c r="I122" s="1">
        <v>45371</v>
      </c>
      <c r="J122">
        <v>50.317999999999998</v>
      </c>
      <c r="K122">
        <v>46.746000000000002</v>
      </c>
      <c r="L122">
        <v>44.886000000000003</v>
      </c>
      <c r="M122">
        <v>23.529</v>
      </c>
      <c r="N122">
        <v>17.390999999999998</v>
      </c>
      <c r="O122">
        <v>17.390999999999998</v>
      </c>
      <c r="P122">
        <v>23.529</v>
      </c>
      <c r="Q122">
        <v>17.390999999999998</v>
      </c>
      <c r="R122">
        <v>17.390999999999998</v>
      </c>
      <c r="S122">
        <v>0</v>
      </c>
      <c r="T122">
        <v>0</v>
      </c>
      <c r="U122">
        <v>0</v>
      </c>
      <c r="V122">
        <f t="shared" si="3"/>
        <v>24.343999999999998</v>
      </c>
      <c r="W122">
        <f t="shared" si="4"/>
        <v>20.381999999999998</v>
      </c>
      <c r="X122">
        <f t="shared" si="5"/>
        <v>19.917000000000002</v>
      </c>
      <c r="Y122">
        <v>13</v>
      </c>
      <c r="Z122" s="2" t="s">
        <v>142</v>
      </c>
    </row>
    <row r="123" spans="1:26" x14ac:dyDescent="0.25">
      <c r="A123">
        <v>424</v>
      </c>
      <c r="B123">
        <v>179</v>
      </c>
      <c r="C123">
        <v>13</v>
      </c>
      <c r="D123" s="2" t="s">
        <v>142</v>
      </c>
      <c r="E123" t="s">
        <v>24</v>
      </c>
      <c r="F123" t="s">
        <v>145</v>
      </c>
      <c r="G123" t="str">
        <f>VLOOKUP(F123,Hospitals!E:H,4,FALSE)</f>
        <v>28.99051 , 76.98735</v>
      </c>
      <c r="H123" s="1">
        <v>45371</v>
      </c>
      <c r="I123" s="1">
        <v>45371</v>
      </c>
      <c r="J123">
        <v>66.242000000000004</v>
      </c>
      <c r="K123">
        <v>62.13</v>
      </c>
      <c r="L123">
        <v>59.658999999999999</v>
      </c>
      <c r="M123">
        <v>47.058999999999997</v>
      </c>
      <c r="N123">
        <v>34.783000000000001</v>
      </c>
      <c r="O123">
        <v>34.783000000000001</v>
      </c>
      <c r="P123">
        <v>47.058999999999997</v>
      </c>
      <c r="Q123">
        <v>34.783000000000001</v>
      </c>
      <c r="R123">
        <v>34.783000000000001</v>
      </c>
      <c r="S123">
        <v>10</v>
      </c>
      <c r="T123">
        <v>8.3330000000000002</v>
      </c>
      <c r="U123">
        <v>0</v>
      </c>
      <c r="V123">
        <f t="shared" si="3"/>
        <v>42.59</v>
      </c>
      <c r="W123">
        <f t="shared" si="4"/>
        <v>35.007250000000006</v>
      </c>
      <c r="X123">
        <f t="shared" si="5"/>
        <v>32.306250000000006</v>
      </c>
      <c r="Y123">
        <v>13</v>
      </c>
      <c r="Z123" s="2" t="s">
        <v>142</v>
      </c>
    </row>
    <row r="124" spans="1:26" x14ac:dyDescent="0.25">
      <c r="A124">
        <v>777</v>
      </c>
      <c r="B124">
        <v>18</v>
      </c>
      <c r="C124" t="s">
        <v>22</v>
      </c>
      <c r="D124" t="s">
        <v>23</v>
      </c>
      <c r="E124" t="s">
        <v>27</v>
      </c>
      <c r="F124" t="s">
        <v>146</v>
      </c>
      <c r="G124" t="str">
        <f>VLOOKUP(F124,Hospitals!E:H,4,FALSE)</f>
        <v>30.28297 , 76.71056</v>
      </c>
      <c r="H124" s="1">
        <v>45446</v>
      </c>
      <c r="I124" s="1">
        <v>45446</v>
      </c>
      <c r="J124">
        <v>24.841000000000001</v>
      </c>
      <c r="K124">
        <v>23.077000000000002</v>
      </c>
      <c r="L124">
        <v>22.158999999999999</v>
      </c>
      <c r="M124">
        <v>41.176000000000002</v>
      </c>
      <c r="N124">
        <v>30.434999999999999</v>
      </c>
      <c r="O124">
        <v>30.434999999999999</v>
      </c>
      <c r="P124">
        <v>41.176000000000002</v>
      </c>
      <c r="Q124">
        <v>30.434999999999999</v>
      </c>
      <c r="R124">
        <v>30.434999999999999</v>
      </c>
      <c r="S124">
        <v>0</v>
      </c>
      <c r="T124">
        <v>0</v>
      </c>
      <c r="U124">
        <v>0</v>
      </c>
      <c r="V124">
        <f t="shared" si="3"/>
        <v>26.798249999999999</v>
      </c>
      <c r="W124">
        <f t="shared" si="4"/>
        <v>20.986750000000001</v>
      </c>
      <c r="X124">
        <f t="shared" si="5"/>
        <v>20.757249999999999</v>
      </c>
      <c r="Y124">
        <v>13</v>
      </c>
      <c r="Z124" s="2" t="s">
        <v>26</v>
      </c>
    </row>
    <row r="125" spans="1:26" x14ac:dyDescent="0.25">
      <c r="A125">
        <v>385</v>
      </c>
      <c r="B125">
        <v>180</v>
      </c>
      <c r="C125" t="s">
        <v>22</v>
      </c>
      <c r="D125" t="s">
        <v>140</v>
      </c>
      <c r="E125" t="s">
        <v>24</v>
      </c>
      <c r="F125" t="s">
        <v>147</v>
      </c>
      <c r="G125" t="str">
        <f>VLOOKUP(F125,Hospitals!E:H,4,FALSE)</f>
        <v>30.28297 , 76.71056</v>
      </c>
      <c r="H125" s="1">
        <v>45369</v>
      </c>
      <c r="I125" s="1">
        <v>45369</v>
      </c>
      <c r="J125">
        <v>38.216999999999999</v>
      </c>
      <c r="K125">
        <v>36.094999999999999</v>
      </c>
      <c r="L125">
        <v>34.658999999999999</v>
      </c>
      <c r="M125">
        <v>52.941000000000003</v>
      </c>
      <c r="N125">
        <v>39.130000000000003</v>
      </c>
      <c r="O125">
        <v>39.130000000000003</v>
      </c>
      <c r="P125">
        <v>52.941000000000003</v>
      </c>
      <c r="Q125">
        <v>39.130000000000003</v>
      </c>
      <c r="R125">
        <v>39.130000000000003</v>
      </c>
      <c r="S125">
        <v>0</v>
      </c>
      <c r="T125">
        <v>0</v>
      </c>
      <c r="U125">
        <v>0</v>
      </c>
      <c r="V125">
        <f t="shared" si="3"/>
        <v>36.024749999999997</v>
      </c>
      <c r="W125">
        <f t="shared" si="4"/>
        <v>28.588749999999997</v>
      </c>
      <c r="X125">
        <f t="shared" si="5"/>
        <v>28.229750000000003</v>
      </c>
      <c r="Y125">
        <v>13</v>
      </c>
      <c r="Z125" s="2" t="s">
        <v>142</v>
      </c>
    </row>
    <row r="126" spans="1:26" x14ac:dyDescent="0.25">
      <c r="A126">
        <v>349</v>
      </c>
      <c r="B126">
        <v>181</v>
      </c>
      <c r="C126" t="s">
        <v>22</v>
      </c>
      <c r="D126" t="s">
        <v>140</v>
      </c>
      <c r="E126" t="s">
        <v>24</v>
      </c>
      <c r="F126" t="s">
        <v>148</v>
      </c>
      <c r="G126" t="str">
        <f>VLOOKUP(F126,Hospitals!E:H,4,FALSE)</f>
        <v>30.28678 , 77.49726</v>
      </c>
      <c r="H126" s="1">
        <v>45364</v>
      </c>
      <c r="I126" s="1">
        <v>45364</v>
      </c>
      <c r="J126">
        <v>56.051000000000002</v>
      </c>
      <c r="K126">
        <v>53.253999999999998</v>
      </c>
      <c r="L126">
        <v>51.136000000000003</v>
      </c>
      <c r="M126">
        <v>41.176000000000002</v>
      </c>
      <c r="N126">
        <v>30.434999999999999</v>
      </c>
      <c r="O126">
        <v>30.434999999999999</v>
      </c>
      <c r="P126">
        <v>41.176000000000002</v>
      </c>
      <c r="Q126">
        <v>30.434999999999999</v>
      </c>
      <c r="R126">
        <v>30.434999999999999</v>
      </c>
      <c r="S126">
        <v>0</v>
      </c>
      <c r="T126">
        <v>0</v>
      </c>
      <c r="U126">
        <v>0</v>
      </c>
      <c r="V126">
        <f t="shared" si="3"/>
        <v>34.600750000000005</v>
      </c>
      <c r="W126">
        <f t="shared" si="4"/>
        <v>28.530999999999999</v>
      </c>
      <c r="X126">
        <f t="shared" si="5"/>
        <v>28.0015</v>
      </c>
      <c r="Y126">
        <v>13</v>
      </c>
      <c r="Z126" s="2" t="s">
        <v>142</v>
      </c>
    </row>
    <row r="127" spans="1:26" x14ac:dyDescent="0.25">
      <c r="A127">
        <v>293</v>
      </c>
      <c r="B127">
        <v>182</v>
      </c>
      <c r="C127" t="s">
        <v>22</v>
      </c>
      <c r="D127" t="s">
        <v>140</v>
      </c>
      <c r="E127" t="s">
        <v>62</v>
      </c>
      <c r="F127" t="s">
        <v>149</v>
      </c>
      <c r="G127" t="str">
        <f>VLOOKUP(F127,Hospitals!E:H,4,FALSE)</f>
        <v>30.13852 , 77.30117</v>
      </c>
      <c r="H127" s="1">
        <v>45369</v>
      </c>
      <c r="I127" s="1">
        <v>45370</v>
      </c>
      <c r="J127">
        <v>56.688000000000002</v>
      </c>
      <c r="K127">
        <v>53.845999999999997</v>
      </c>
      <c r="L127">
        <v>52.273000000000003</v>
      </c>
      <c r="M127">
        <v>47.058999999999997</v>
      </c>
      <c r="N127">
        <v>47.826000000000001</v>
      </c>
      <c r="O127">
        <v>47.826000000000001</v>
      </c>
      <c r="P127">
        <v>47.058999999999997</v>
      </c>
      <c r="Q127">
        <v>47.826000000000001</v>
      </c>
      <c r="R127">
        <v>47.826000000000001</v>
      </c>
      <c r="S127">
        <v>40</v>
      </c>
      <c r="T127">
        <v>33.332999999999998</v>
      </c>
      <c r="U127">
        <v>7.1429999999999998</v>
      </c>
      <c r="V127">
        <f t="shared" si="3"/>
        <v>47.701499999999996</v>
      </c>
      <c r="W127">
        <f t="shared" si="4"/>
        <v>45.707749999999997</v>
      </c>
      <c r="X127">
        <f t="shared" si="5"/>
        <v>38.767000000000003</v>
      </c>
      <c r="Y127">
        <v>13</v>
      </c>
      <c r="Z127" s="2" t="s">
        <v>142</v>
      </c>
    </row>
    <row r="128" spans="1:26" x14ac:dyDescent="0.25">
      <c r="A128">
        <v>446</v>
      </c>
      <c r="B128">
        <v>183</v>
      </c>
      <c r="C128" t="s">
        <v>22</v>
      </c>
      <c r="D128" t="s">
        <v>140</v>
      </c>
      <c r="E128" t="s">
        <v>27</v>
      </c>
      <c r="F128" t="s">
        <v>150</v>
      </c>
      <c r="G128" t="str">
        <f>VLOOKUP(F128,Hospitals!E:H,4,FALSE)</f>
        <v>30.28297 , 76.71056</v>
      </c>
      <c r="H128" s="1">
        <v>45378</v>
      </c>
      <c r="I128" s="1">
        <v>45378</v>
      </c>
      <c r="J128">
        <v>6.3689999999999998</v>
      </c>
      <c r="K128">
        <v>5.9169999999999998</v>
      </c>
      <c r="L128">
        <v>5.6820000000000004</v>
      </c>
      <c r="M128">
        <v>52.941000000000003</v>
      </c>
      <c r="N128">
        <v>43.478000000000002</v>
      </c>
      <c r="O128">
        <v>43.478000000000002</v>
      </c>
      <c r="P128">
        <v>52.941000000000003</v>
      </c>
      <c r="Q128">
        <v>43.478000000000002</v>
      </c>
      <c r="R128">
        <v>43.478000000000002</v>
      </c>
      <c r="S128">
        <v>0</v>
      </c>
      <c r="T128">
        <v>0</v>
      </c>
      <c r="U128">
        <v>0</v>
      </c>
      <c r="V128">
        <f t="shared" si="3"/>
        <v>28.062750000000001</v>
      </c>
      <c r="W128">
        <f t="shared" si="4"/>
        <v>23.218250000000001</v>
      </c>
      <c r="X128">
        <f t="shared" si="5"/>
        <v>23.159500000000001</v>
      </c>
      <c r="Y128">
        <v>13</v>
      </c>
      <c r="Z128" s="2" t="s">
        <v>142</v>
      </c>
    </row>
    <row r="129" spans="1:26" x14ac:dyDescent="0.25">
      <c r="A129">
        <v>391</v>
      </c>
      <c r="B129">
        <v>184</v>
      </c>
      <c r="C129" t="s">
        <v>22</v>
      </c>
      <c r="D129" t="s">
        <v>140</v>
      </c>
      <c r="E129" t="s">
        <v>27</v>
      </c>
      <c r="F129" t="s">
        <v>151</v>
      </c>
      <c r="G129" t="str">
        <f>VLOOKUP(F129,Hospitals!E:H,4,FALSE)</f>
        <v>30.28297 , 76.71056</v>
      </c>
      <c r="H129" s="1">
        <v>45371</v>
      </c>
      <c r="I129" s="1">
        <v>45371</v>
      </c>
      <c r="J129">
        <v>38.853999999999999</v>
      </c>
      <c r="K129">
        <v>36.686</v>
      </c>
      <c r="L129">
        <v>35.226999999999997</v>
      </c>
      <c r="M129">
        <v>64.706000000000003</v>
      </c>
      <c r="N129">
        <v>47.826000000000001</v>
      </c>
      <c r="O129">
        <v>47.826000000000001</v>
      </c>
      <c r="P129">
        <v>64.706000000000003</v>
      </c>
      <c r="Q129">
        <v>47.826000000000001</v>
      </c>
      <c r="R129">
        <v>47.826000000000001</v>
      </c>
      <c r="S129">
        <v>0</v>
      </c>
      <c r="T129">
        <v>0</v>
      </c>
      <c r="U129">
        <v>0</v>
      </c>
      <c r="V129">
        <f t="shared" si="3"/>
        <v>42.066500000000005</v>
      </c>
      <c r="W129">
        <f t="shared" si="4"/>
        <v>33.084499999999998</v>
      </c>
      <c r="X129">
        <f t="shared" si="5"/>
        <v>32.719749999999998</v>
      </c>
      <c r="Y129">
        <v>13</v>
      </c>
      <c r="Z129" s="2" t="s">
        <v>142</v>
      </c>
    </row>
    <row r="130" spans="1:26" x14ac:dyDescent="0.25">
      <c r="A130">
        <v>348</v>
      </c>
      <c r="B130">
        <v>185</v>
      </c>
      <c r="C130" t="s">
        <v>22</v>
      </c>
      <c r="D130" t="s">
        <v>140</v>
      </c>
      <c r="E130" t="s">
        <v>27</v>
      </c>
      <c r="F130" t="s">
        <v>152</v>
      </c>
      <c r="G130" t="str">
        <f>VLOOKUP(F130,Hospitals!E:H,4,FALSE)</f>
        <v>30.29279 , 77.2224</v>
      </c>
      <c r="H130" s="1">
        <v>45370</v>
      </c>
      <c r="I130" s="1">
        <v>45370</v>
      </c>
      <c r="J130">
        <v>36.942999999999998</v>
      </c>
      <c r="K130">
        <v>34.32</v>
      </c>
      <c r="L130">
        <v>32.954999999999998</v>
      </c>
      <c r="M130">
        <v>41.176000000000002</v>
      </c>
      <c r="N130">
        <v>30.434999999999999</v>
      </c>
      <c r="O130">
        <v>30.434999999999999</v>
      </c>
      <c r="P130">
        <v>41.176000000000002</v>
      </c>
      <c r="Q130">
        <v>30.434999999999999</v>
      </c>
      <c r="R130">
        <v>30.434999999999999</v>
      </c>
      <c r="S130">
        <v>0</v>
      </c>
      <c r="T130">
        <v>0</v>
      </c>
      <c r="U130">
        <v>0</v>
      </c>
      <c r="V130">
        <f t="shared" si="3"/>
        <v>29.82375</v>
      </c>
      <c r="W130">
        <f t="shared" si="4"/>
        <v>23.797499999999999</v>
      </c>
      <c r="X130">
        <f t="shared" si="5"/>
        <v>23.456250000000001</v>
      </c>
      <c r="Y130">
        <v>13</v>
      </c>
      <c r="Z130" s="2" t="s">
        <v>142</v>
      </c>
    </row>
    <row r="131" spans="1:26" x14ac:dyDescent="0.25">
      <c r="A131">
        <v>429</v>
      </c>
      <c r="B131">
        <v>186</v>
      </c>
      <c r="C131" t="s">
        <v>22</v>
      </c>
      <c r="D131" t="s">
        <v>140</v>
      </c>
      <c r="E131" t="s">
        <v>27</v>
      </c>
      <c r="F131" t="s">
        <v>153</v>
      </c>
      <c r="G131" t="str">
        <f>VLOOKUP(F131,Hospitals!E:H,4,FALSE)</f>
        <v>30.44704 , 76.98734</v>
      </c>
      <c r="H131" s="1">
        <v>45371</v>
      </c>
      <c r="I131" s="1">
        <v>45371</v>
      </c>
      <c r="J131">
        <v>4.4589999999999996</v>
      </c>
      <c r="K131">
        <v>4.1420000000000003</v>
      </c>
      <c r="L131">
        <v>3.9769999999999999</v>
      </c>
      <c r="M131">
        <v>5.8819999999999997</v>
      </c>
      <c r="N131">
        <v>4.3479999999999999</v>
      </c>
      <c r="O131">
        <v>4.3479999999999999</v>
      </c>
      <c r="P131">
        <v>5.8819999999999997</v>
      </c>
      <c r="Q131">
        <v>4.3479999999999999</v>
      </c>
      <c r="R131">
        <v>4.3479999999999999</v>
      </c>
      <c r="S131">
        <v>0</v>
      </c>
      <c r="T131">
        <v>0</v>
      </c>
      <c r="U131">
        <v>0</v>
      </c>
      <c r="V131">
        <f t="shared" ref="V131:V194" si="6">AVERAGE(J131,M131,P131,S131)</f>
        <v>4.0557499999999997</v>
      </c>
      <c r="W131">
        <f t="shared" ref="W131:W194" si="7">AVERAGE(K131,N131,Q131,T131)</f>
        <v>3.2095000000000002</v>
      </c>
      <c r="X131">
        <f t="shared" ref="X131:X194" si="8">AVERAGE(L131,O131,R131,U131)</f>
        <v>3.1682499999999996</v>
      </c>
      <c r="Y131">
        <v>13</v>
      </c>
      <c r="Z131" s="2" t="s">
        <v>142</v>
      </c>
    </row>
    <row r="132" spans="1:26" x14ac:dyDescent="0.25">
      <c r="A132">
        <v>414</v>
      </c>
      <c r="B132">
        <v>187</v>
      </c>
      <c r="C132" t="s">
        <v>22</v>
      </c>
      <c r="D132" t="s">
        <v>140</v>
      </c>
      <c r="E132" t="s">
        <v>27</v>
      </c>
      <c r="F132" t="s">
        <v>154</v>
      </c>
      <c r="G132" t="str">
        <f>VLOOKUP(F132,Hospitals!E:H,4,FALSE)</f>
        <v>30.03427 , 77.20822</v>
      </c>
      <c r="H132" s="1">
        <v>45370</v>
      </c>
      <c r="I132" s="1">
        <v>45370</v>
      </c>
      <c r="J132">
        <v>5.0960000000000001</v>
      </c>
      <c r="K132">
        <v>4.734</v>
      </c>
      <c r="L132">
        <v>4.5449999999999999</v>
      </c>
      <c r="M132">
        <v>23.529</v>
      </c>
      <c r="N132">
        <v>17.390999999999998</v>
      </c>
      <c r="O132">
        <v>17.390999999999998</v>
      </c>
      <c r="P132">
        <v>23.529</v>
      </c>
      <c r="Q132">
        <v>17.390999999999998</v>
      </c>
      <c r="R132">
        <v>17.390999999999998</v>
      </c>
      <c r="S132">
        <v>0</v>
      </c>
      <c r="T132">
        <v>0</v>
      </c>
      <c r="U132">
        <v>0</v>
      </c>
      <c r="V132">
        <f t="shared" si="6"/>
        <v>13.038499999999999</v>
      </c>
      <c r="W132">
        <f t="shared" si="7"/>
        <v>9.8789999999999996</v>
      </c>
      <c r="X132">
        <f t="shared" si="8"/>
        <v>9.8317499999999995</v>
      </c>
      <c r="Y132">
        <v>13</v>
      </c>
      <c r="Z132" s="2" t="s">
        <v>142</v>
      </c>
    </row>
    <row r="133" spans="1:26" x14ac:dyDescent="0.25">
      <c r="A133">
        <v>804</v>
      </c>
      <c r="B133">
        <v>188</v>
      </c>
      <c r="C133" t="s">
        <v>22</v>
      </c>
      <c r="D133" t="s">
        <v>140</v>
      </c>
      <c r="E133" t="s">
        <v>27</v>
      </c>
      <c r="F133" t="s">
        <v>155</v>
      </c>
      <c r="G133" t="str">
        <f>VLOOKUP(F133,Hospitals!E:H,4,FALSE)</f>
        <v>30.022 , 77.16001</v>
      </c>
      <c r="H133" s="1">
        <v>45462</v>
      </c>
      <c r="I133" s="1">
        <v>45462</v>
      </c>
      <c r="J133">
        <v>2.548</v>
      </c>
      <c r="K133">
        <v>2.367</v>
      </c>
      <c r="L133">
        <v>2.2730000000000001</v>
      </c>
      <c r="M133">
        <v>11.765000000000001</v>
      </c>
      <c r="N133">
        <v>8.6959999999999997</v>
      </c>
      <c r="O133">
        <v>8.6959999999999997</v>
      </c>
      <c r="P133">
        <v>11.765000000000001</v>
      </c>
      <c r="Q133">
        <v>8.6959999999999997</v>
      </c>
      <c r="R133">
        <v>8.6959999999999997</v>
      </c>
      <c r="S133">
        <v>0</v>
      </c>
      <c r="T133">
        <v>0</v>
      </c>
      <c r="U133">
        <v>0</v>
      </c>
      <c r="V133">
        <f t="shared" si="6"/>
        <v>6.5195000000000007</v>
      </c>
      <c r="W133">
        <f t="shared" si="7"/>
        <v>4.9397500000000001</v>
      </c>
      <c r="X133">
        <f t="shared" si="8"/>
        <v>4.9162499999999998</v>
      </c>
      <c r="Y133">
        <v>13</v>
      </c>
      <c r="Z133" s="2" t="s">
        <v>142</v>
      </c>
    </row>
    <row r="134" spans="1:26" x14ac:dyDescent="0.25">
      <c r="A134">
        <v>405</v>
      </c>
      <c r="B134">
        <v>189</v>
      </c>
      <c r="C134" t="s">
        <v>22</v>
      </c>
      <c r="D134" t="s">
        <v>140</v>
      </c>
      <c r="E134" t="s">
        <v>27</v>
      </c>
      <c r="F134" t="s">
        <v>156</v>
      </c>
      <c r="G134" t="str">
        <f>VLOOKUP(F134,Hospitals!E:H,4,FALSE)</f>
        <v>28.99051 , 76.98735</v>
      </c>
      <c r="H134" s="1">
        <v>45371</v>
      </c>
      <c r="I134" s="1">
        <v>45371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f t="shared" si="6"/>
        <v>0</v>
      </c>
      <c r="W134">
        <f t="shared" si="7"/>
        <v>0</v>
      </c>
      <c r="X134">
        <f t="shared" si="8"/>
        <v>0</v>
      </c>
      <c r="Y134">
        <v>13</v>
      </c>
      <c r="Z134" s="2" t="s">
        <v>142</v>
      </c>
    </row>
    <row r="135" spans="1:26" x14ac:dyDescent="0.25">
      <c r="A135">
        <v>743</v>
      </c>
      <c r="B135">
        <v>19</v>
      </c>
      <c r="C135" t="s">
        <v>22</v>
      </c>
      <c r="D135" t="s">
        <v>23</v>
      </c>
      <c r="E135" t="s">
        <v>27</v>
      </c>
      <c r="F135" t="s">
        <v>157</v>
      </c>
      <c r="G135" t="str">
        <f>VLOOKUP(F135,Hospitals!E:H,4,FALSE)</f>
        <v>29.97617 , 76.8639</v>
      </c>
      <c r="H135" s="1">
        <v>45429</v>
      </c>
      <c r="I135" s="1">
        <v>45429</v>
      </c>
      <c r="J135">
        <v>26.114999999999998</v>
      </c>
      <c r="K135">
        <v>24.26</v>
      </c>
      <c r="L135">
        <v>23.295000000000002</v>
      </c>
      <c r="M135">
        <v>23.529</v>
      </c>
      <c r="N135">
        <v>21.739000000000001</v>
      </c>
      <c r="O135">
        <v>21.739000000000001</v>
      </c>
      <c r="P135">
        <v>23.529</v>
      </c>
      <c r="Q135">
        <v>21.739000000000001</v>
      </c>
      <c r="R135">
        <v>21.739000000000001</v>
      </c>
      <c r="S135">
        <v>0</v>
      </c>
      <c r="T135">
        <v>0</v>
      </c>
      <c r="U135">
        <v>0</v>
      </c>
      <c r="V135">
        <f t="shared" si="6"/>
        <v>18.29325</v>
      </c>
      <c r="W135">
        <f t="shared" si="7"/>
        <v>16.9345</v>
      </c>
      <c r="X135">
        <f t="shared" si="8"/>
        <v>16.693250000000003</v>
      </c>
      <c r="Y135">
        <v>13</v>
      </c>
      <c r="Z135" s="2" t="s">
        <v>26</v>
      </c>
    </row>
    <row r="136" spans="1:26" x14ac:dyDescent="0.25">
      <c r="A136">
        <v>434</v>
      </c>
      <c r="B136">
        <v>190</v>
      </c>
      <c r="C136" t="s">
        <v>22</v>
      </c>
      <c r="D136" t="s">
        <v>140</v>
      </c>
      <c r="E136" t="s">
        <v>27</v>
      </c>
      <c r="F136" t="s">
        <v>158</v>
      </c>
      <c r="G136" t="str">
        <f>VLOOKUP(F136,Hospitals!E:H,4,FALSE)</f>
        <v>30.36814 , 76.76827</v>
      </c>
      <c r="H136" s="1">
        <v>45372</v>
      </c>
      <c r="I136" s="1">
        <v>45372</v>
      </c>
      <c r="J136">
        <v>45.86</v>
      </c>
      <c r="K136">
        <v>43.195</v>
      </c>
      <c r="L136">
        <v>41.476999999999997</v>
      </c>
      <c r="M136">
        <v>23.529</v>
      </c>
      <c r="N136">
        <v>17.390999999999998</v>
      </c>
      <c r="O136">
        <v>17.390999999999998</v>
      </c>
      <c r="P136">
        <v>23.529</v>
      </c>
      <c r="Q136">
        <v>17.390999999999998</v>
      </c>
      <c r="R136">
        <v>17.390999999999998</v>
      </c>
      <c r="S136">
        <v>0</v>
      </c>
      <c r="T136">
        <v>0</v>
      </c>
      <c r="U136">
        <v>0</v>
      </c>
      <c r="V136">
        <f t="shared" si="6"/>
        <v>23.229499999999998</v>
      </c>
      <c r="W136">
        <f t="shared" si="7"/>
        <v>19.494250000000001</v>
      </c>
      <c r="X136">
        <f t="shared" si="8"/>
        <v>19.064749999999997</v>
      </c>
      <c r="Y136">
        <v>13</v>
      </c>
      <c r="Z136" s="2" t="s">
        <v>142</v>
      </c>
    </row>
    <row r="137" spans="1:26" x14ac:dyDescent="0.25">
      <c r="A137">
        <v>387</v>
      </c>
      <c r="B137">
        <v>191</v>
      </c>
      <c r="C137" t="s">
        <v>22</v>
      </c>
      <c r="D137" t="s">
        <v>140</v>
      </c>
      <c r="E137" t="s">
        <v>27</v>
      </c>
      <c r="F137" t="s">
        <v>159</v>
      </c>
      <c r="G137" t="str">
        <f>VLOOKUP(F137,Hospitals!E:H,4,FALSE)</f>
        <v>30.2403 , 77.1363</v>
      </c>
      <c r="H137" s="1">
        <v>45369</v>
      </c>
      <c r="I137" s="1">
        <v>45369</v>
      </c>
      <c r="J137">
        <v>20.382000000000001</v>
      </c>
      <c r="K137">
        <v>18.934999999999999</v>
      </c>
      <c r="L137">
        <v>18.181999999999999</v>
      </c>
      <c r="M137">
        <v>17.646999999999998</v>
      </c>
      <c r="N137">
        <v>13.042999999999999</v>
      </c>
      <c r="O137">
        <v>13.042999999999999</v>
      </c>
      <c r="P137">
        <v>17.646999999999998</v>
      </c>
      <c r="Q137">
        <v>13.042999999999999</v>
      </c>
      <c r="R137">
        <v>13.042999999999999</v>
      </c>
      <c r="S137">
        <v>0</v>
      </c>
      <c r="T137">
        <v>0</v>
      </c>
      <c r="U137">
        <v>0</v>
      </c>
      <c r="V137">
        <f t="shared" si="6"/>
        <v>13.918999999999999</v>
      </c>
      <c r="W137">
        <f t="shared" si="7"/>
        <v>11.25525</v>
      </c>
      <c r="X137">
        <f t="shared" si="8"/>
        <v>11.067</v>
      </c>
      <c r="Y137">
        <v>13</v>
      </c>
      <c r="Z137" s="2" t="s">
        <v>142</v>
      </c>
    </row>
    <row r="138" spans="1:26" x14ac:dyDescent="0.25">
      <c r="A138">
        <v>408</v>
      </c>
      <c r="B138">
        <v>192</v>
      </c>
      <c r="C138" t="s">
        <v>22</v>
      </c>
      <c r="D138" t="s">
        <v>140</v>
      </c>
      <c r="E138" t="s">
        <v>27</v>
      </c>
      <c r="F138" t="s">
        <v>160</v>
      </c>
      <c r="G138" t="str">
        <f>VLOOKUP(F138,Hospitals!E:H,4,FALSE)</f>
        <v>30.15119 , 77.29208</v>
      </c>
      <c r="H138" s="1">
        <v>45377</v>
      </c>
      <c r="I138" s="1">
        <v>45377</v>
      </c>
      <c r="J138">
        <v>43.311999999999998</v>
      </c>
      <c r="K138">
        <v>40.828000000000003</v>
      </c>
      <c r="L138">
        <v>39.204999999999998</v>
      </c>
      <c r="M138">
        <v>11.765000000000001</v>
      </c>
      <c r="N138">
        <v>8.6959999999999997</v>
      </c>
      <c r="O138">
        <v>8.6959999999999997</v>
      </c>
      <c r="P138">
        <v>11.765000000000001</v>
      </c>
      <c r="Q138">
        <v>8.6959999999999997</v>
      </c>
      <c r="R138">
        <v>8.6959999999999997</v>
      </c>
      <c r="S138">
        <v>0</v>
      </c>
      <c r="T138">
        <v>0</v>
      </c>
      <c r="U138">
        <v>0</v>
      </c>
      <c r="V138">
        <f t="shared" si="6"/>
        <v>16.7105</v>
      </c>
      <c r="W138">
        <f t="shared" si="7"/>
        <v>14.555</v>
      </c>
      <c r="X138">
        <f t="shared" si="8"/>
        <v>14.149249999999999</v>
      </c>
      <c r="Y138">
        <v>13</v>
      </c>
      <c r="Z138" s="2" t="s">
        <v>142</v>
      </c>
    </row>
    <row r="139" spans="1:26" x14ac:dyDescent="0.25">
      <c r="A139">
        <v>450</v>
      </c>
      <c r="B139">
        <v>193</v>
      </c>
      <c r="C139" t="s">
        <v>22</v>
      </c>
      <c r="D139" t="s">
        <v>140</v>
      </c>
      <c r="E139" t="s">
        <v>27</v>
      </c>
      <c r="F139" t="s">
        <v>161</v>
      </c>
      <c r="G139" t="str">
        <f>VLOOKUP(F139,Hospitals!E:H,4,FALSE)</f>
        <v>28.99308 , 77.01507</v>
      </c>
      <c r="H139" s="1">
        <v>45377</v>
      </c>
      <c r="I139" s="1">
        <v>45377</v>
      </c>
      <c r="J139">
        <v>21.655999999999999</v>
      </c>
      <c r="K139">
        <v>20.117999999999999</v>
      </c>
      <c r="L139">
        <v>19.318000000000001</v>
      </c>
      <c r="M139">
        <v>17.646999999999998</v>
      </c>
      <c r="N139">
        <v>13.042999999999999</v>
      </c>
      <c r="O139">
        <v>13.042999999999999</v>
      </c>
      <c r="P139">
        <v>17.646999999999998</v>
      </c>
      <c r="Q139">
        <v>13.042999999999999</v>
      </c>
      <c r="R139">
        <v>13.042999999999999</v>
      </c>
      <c r="S139">
        <v>0</v>
      </c>
      <c r="T139">
        <v>0</v>
      </c>
      <c r="U139">
        <v>0</v>
      </c>
      <c r="V139">
        <f t="shared" si="6"/>
        <v>14.237499999999999</v>
      </c>
      <c r="W139">
        <f t="shared" si="7"/>
        <v>11.551</v>
      </c>
      <c r="X139">
        <f t="shared" si="8"/>
        <v>11.351000000000001</v>
      </c>
      <c r="Y139">
        <v>13</v>
      </c>
      <c r="Z139" s="2" t="s">
        <v>142</v>
      </c>
    </row>
    <row r="140" spans="1:26" x14ac:dyDescent="0.25">
      <c r="A140">
        <v>380</v>
      </c>
      <c r="B140">
        <v>194</v>
      </c>
      <c r="C140" t="s">
        <v>22</v>
      </c>
      <c r="D140" t="s">
        <v>140</v>
      </c>
      <c r="E140" t="s">
        <v>27</v>
      </c>
      <c r="F140" t="s">
        <v>162</v>
      </c>
      <c r="G140" t="str">
        <f>VLOOKUP(F140,Hospitals!E:H,4,FALSE)</f>
        <v>30.28297 , 76.71056</v>
      </c>
      <c r="H140" s="1">
        <v>45365</v>
      </c>
      <c r="I140" s="1">
        <v>45365</v>
      </c>
      <c r="J140">
        <v>7.0060000000000002</v>
      </c>
      <c r="K140">
        <v>6.5090000000000003</v>
      </c>
      <c r="L140">
        <v>6.25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f t="shared" si="6"/>
        <v>1.7515000000000001</v>
      </c>
      <c r="W140">
        <f t="shared" si="7"/>
        <v>1.6272500000000001</v>
      </c>
      <c r="X140">
        <f t="shared" si="8"/>
        <v>1.5625</v>
      </c>
      <c r="Y140">
        <v>13</v>
      </c>
      <c r="Z140" s="2" t="s">
        <v>142</v>
      </c>
    </row>
    <row r="141" spans="1:26" x14ac:dyDescent="0.25">
      <c r="A141">
        <v>381</v>
      </c>
      <c r="B141">
        <v>195</v>
      </c>
      <c r="C141" t="s">
        <v>22</v>
      </c>
      <c r="D141" t="s">
        <v>140</v>
      </c>
      <c r="E141" t="s">
        <v>27</v>
      </c>
      <c r="F141" t="s">
        <v>163</v>
      </c>
      <c r="G141" t="str">
        <f>VLOOKUP(F141,Hospitals!E:H,4,FALSE)</f>
        <v>30.10148 , 77.275</v>
      </c>
      <c r="H141" s="1">
        <v>45365</v>
      </c>
      <c r="I141" s="1">
        <v>45365</v>
      </c>
      <c r="J141">
        <v>12.102</v>
      </c>
      <c r="K141">
        <v>11.243</v>
      </c>
      <c r="L141">
        <v>10.795</v>
      </c>
      <c r="M141">
        <v>35.293999999999997</v>
      </c>
      <c r="N141">
        <v>30.434999999999999</v>
      </c>
      <c r="O141">
        <v>30.434999999999999</v>
      </c>
      <c r="P141">
        <v>35.293999999999997</v>
      </c>
      <c r="Q141">
        <v>30.434999999999999</v>
      </c>
      <c r="R141">
        <v>30.434999999999999</v>
      </c>
      <c r="S141">
        <v>0</v>
      </c>
      <c r="T141">
        <v>0</v>
      </c>
      <c r="U141">
        <v>0</v>
      </c>
      <c r="V141">
        <f t="shared" si="6"/>
        <v>20.672499999999999</v>
      </c>
      <c r="W141">
        <f t="shared" si="7"/>
        <v>18.02825</v>
      </c>
      <c r="X141">
        <f t="shared" si="8"/>
        <v>17.916249999999998</v>
      </c>
      <c r="Y141">
        <v>13</v>
      </c>
      <c r="Z141" s="2" t="s">
        <v>142</v>
      </c>
    </row>
    <row r="142" spans="1:26" x14ac:dyDescent="0.25">
      <c r="A142">
        <v>427</v>
      </c>
      <c r="B142">
        <v>196</v>
      </c>
      <c r="C142">
        <v>13</v>
      </c>
      <c r="D142" s="2" t="s">
        <v>142</v>
      </c>
      <c r="E142" t="s">
        <v>77</v>
      </c>
      <c r="F142" t="s">
        <v>164</v>
      </c>
      <c r="G142" t="str">
        <f>VLOOKUP(F142,Hospitals!E:H,4,FALSE)</f>
        <v>30.17007 , 77.29087</v>
      </c>
      <c r="H142" s="1">
        <v>45378</v>
      </c>
      <c r="I142" s="1">
        <v>45378</v>
      </c>
      <c r="J142">
        <v>70.700999999999993</v>
      </c>
      <c r="K142">
        <v>67.456000000000003</v>
      </c>
      <c r="L142">
        <v>64.772999999999996</v>
      </c>
      <c r="M142">
        <v>82.352999999999994</v>
      </c>
      <c r="N142">
        <v>73.912999999999997</v>
      </c>
      <c r="O142">
        <v>73.912999999999997</v>
      </c>
      <c r="P142">
        <v>82.352999999999994</v>
      </c>
      <c r="Q142">
        <v>73.912999999999997</v>
      </c>
      <c r="R142">
        <v>73.912999999999997</v>
      </c>
      <c r="S142">
        <v>20</v>
      </c>
      <c r="T142">
        <v>8.3330000000000002</v>
      </c>
      <c r="U142">
        <v>7.1429999999999998</v>
      </c>
      <c r="V142">
        <f t="shared" si="6"/>
        <v>63.851749999999996</v>
      </c>
      <c r="W142">
        <f t="shared" si="7"/>
        <v>55.903749999999995</v>
      </c>
      <c r="X142">
        <f t="shared" si="8"/>
        <v>54.935499999999998</v>
      </c>
      <c r="Y142">
        <v>13</v>
      </c>
      <c r="Z142" s="2" t="s">
        <v>142</v>
      </c>
    </row>
    <row r="143" spans="1:26" x14ac:dyDescent="0.25">
      <c r="A143">
        <v>805</v>
      </c>
      <c r="B143">
        <v>197</v>
      </c>
      <c r="C143" t="s">
        <v>22</v>
      </c>
      <c r="D143" t="s">
        <v>140</v>
      </c>
      <c r="E143" t="s">
        <v>77</v>
      </c>
      <c r="F143" t="s">
        <v>165</v>
      </c>
      <c r="G143" t="str">
        <f>VLOOKUP(F143,Hospitals!E:H,4,FALSE)</f>
        <v>30.04245 , 77.1406</v>
      </c>
      <c r="H143" s="1">
        <v>45458</v>
      </c>
      <c r="I143" t="s">
        <v>35</v>
      </c>
      <c r="J143">
        <v>55.414000000000001</v>
      </c>
      <c r="K143">
        <v>51.478999999999999</v>
      </c>
      <c r="L143">
        <v>49.432000000000002</v>
      </c>
      <c r="M143">
        <v>35.293999999999997</v>
      </c>
      <c r="N143">
        <v>26.087</v>
      </c>
      <c r="O143">
        <v>26.087</v>
      </c>
      <c r="P143">
        <v>35.293999999999997</v>
      </c>
      <c r="Q143">
        <v>26.087</v>
      </c>
      <c r="R143">
        <v>26.087</v>
      </c>
      <c r="S143">
        <v>10</v>
      </c>
      <c r="T143">
        <v>8.3330000000000002</v>
      </c>
      <c r="U143">
        <v>0</v>
      </c>
      <c r="V143">
        <f t="shared" si="6"/>
        <v>34.000500000000002</v>
      </c>
      <c r="W143">
        <f t="shared" si="7"/>
        <v>27.996500000000001</v>
      </c>
      <c r="X143">
        <f t="shared" si="8"/>
        <v>25.401500000000002</v>
      </c>
      <c r="Y143">
        <v>13</v>
      </c>
      <c r="Z143" s="2" t="s">
        <v>142</v>
      </c>
    </row>
    <row r="144" spans="1:26" x14ac:dyDescent="0.25">
      <c r="A144">
        <v>404</v>
      </c>
      <c r="B144">
        <v>197</v>
      </c>
      <c r="C144" t="s">
        <v>22</v>
      </c>
      <c r="D144" t="s">
        <v>140</v>
      </c>
      <c r="E144" t="s">
        <v>77</v>
      </c>
      <c r="F144" t="s">
        <v>165</v>
      </c>
      <c r="G144" t="str">
        <f>VLOOKUP(F144,Hospitals!E:H,4,FALSE)</f>
        <v>30.04245 , 77.1406</v>
      </c>
      <c r="H144" s="1">
        <v>45371</v>
      </c>
      <c r="I144" s="1">
        <v>45371</v>
      </c>
      <c r="J144">
        <v>55.414000000000001</v>
      </c>
      <c r="K144">
        <v>51.478999999999999</v>
      </c>
      <c r="L144">
        <v>49.432000000000002</v>
      </c>
      <c r="M144">
        <v>35.293999999999997</v>
      </c>
      <c r="N144">
        <v>26.087</v>
      </c>
      <c r="O144">
        <v>26.087</v>
      </c>
      <c r="P144">
        <v>35.293999999999997</v>
      </c>
      <c r="Q144">
        <v>26.087</v>
      </c>
      <c r="R144">
        <v>26.087</v>
      </c>
      <c r="S144">
        <v>10</v>
      </c>
      <c r="T144">
        <v>8.3330000000000002</v>
      </c>
      <c r="U144">
        <v>0</v>
      </c>
      <c r="V144">
        <f t="shared" si="6"/>
        <v>34.000500000000002</v>
      </c>
      <c r="W144">
        <f t="shared" si="7"/>
        <v>27.996500000000001</v>
      </c>
      <c r="X144">
        <f t="shared" si="8"/>
        <v>25.401500000000002</v>
      </c>
      <c r="Y144">
        <v>13</v>
      </c>
      <c r="Z144" s="2" t="s">
        <v>142</v>
      </c>
    </row>
    <row r="145" spans="1:26" x14ac:dyDescent="0.25">
      <c r="A145">
        <v>821</v>
      </c>
      <c r="B145">
        <v>198</v>
      </c>
      <c r="C145" t="s">
        <v>22</v>
      </c>
      <c r="D145" t="s">
        <v>166</v>
      </c>
      <c r="E145" t="s">
        <v>24</v>
      </c>
      <c r="F145" t="s">
        <v>167</v>
      </c>
      <c r="G145" t="e">
        <f>VLOOKUP(F145,Hospitals!E:H,4,FALSE)</f>
        <v>#N/A</v>
      </c>
      <c r="H145" s="1">
        <v>45464</v>
      </c>
      <c r="I145" t="s">
        <v>35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f t="shared" si="6"/>
        <v>0</v>
      </c>
      <c r="W145">
        <f t="shared" si="7"/>
        <v>0</v>
      </c>
      <c r="X145">
        <f t="shared" si="8"/>
        <v>0</v>
      </c>
      <c r="Y145">
        <v>13</v>
      </c>
      <c r="Z145" s="2" t="s">
        <v>168</v>
      </c>
    </row>
    <row r="146" spans="1:26" x14ac:dyDescent="0.25">
      <c r="A146">
        <v>824</v>
      </c>
      <c r="B146">
        <v>199</v>
      </c>
      <c r="C146" t="s">
        <v>22</v>
      </c>
      <c r="D146" t="s">
        <v>166</v>
      </c>
      <c r="E146" t="s">
        <v>24</v>
      </c>
      <c r="F146" t="s">
        <v>169</v>
      </c>
      <c r="G146" t="str">
        <f>VLOOKUP(F146,Hospitals!E:H,4,FALSE)</f>
        <v>28.76375 , 76.62672</v>
      </c>
      <c r="H146" s="1">
        <v>45469</v>
      </c>
      <c r="I146" s="1">
        <v>45469</v>
      </c>
      <c r="J146">
        <v>55.414000000000001</v>
      </c>
      <c r="K146">
        <v>52.070999999999998</v>
      </c>
      <c r="L146">
        <v>50</v>
      </c>
      <c r="M146">
        <v>52.941000000000003</v>
      </c>
      <c r="N146">
        <v>43.478000000000002</v>
      </c>
      <c r="O146">
        <v>43.478000000000002</v>
      </c>
      <c r="P146">
        <v>52.941000000000003</v>
      </c>
      <c r="Q146">
        <v>43.478000000000002</v>
      </c>
      <c r="R146">
        <v>43.478000000000002</v>
      </c>
      <c r="S146">
        <v>20</v>
      </c>
      <c r="T146">
        <v>8.3330000000000002</v>
      </c>
      <c r="U146">
        <v>0</v>
      </c>
      <c r="V146">
        <f t="shared" si="6"/>
        <v>45.323999999999998</v>
      </c>
      <c r="W146">
        <f t="shared" si="7"/>
        <v>36.840000000000003</v>
      </c>
      <c r="X146">
        <f t="shared" si="8"/>
        <v>34.239000000000004</v>
      </c>
      <c r="Y146">
        <v>13</v>
      </c>
      <c r="Z146" s="2" t="s">
        <v>168</v>
      </c>
    </row>
    <row r="147" spans="1:26" x14ac:dyDescent="0.25">
      <c r="A147">
        <v>738</v>
      </c>
      <c r="B147">
        <v>2</v>
      </c>
      <c r="C147" t="s">
        <v>22</v>
      </c>
      <c r="D147" t="s">
        <v>23</v>
      </c>
      <c r="E147" t="s">
        <v>24</v>
      </c>
      <c r="F147" t="s">
        <v>170</v>
      </c>
      <c r="G147" t="str">
        <f>VLOOKUP(F147,Hospitals!E:H,4,FALSE)</f>
        <v>30.26458 , 77.0478</v>
      </c>
      <c r="H147" s="1">
        <v>45427</v>
      </c>
      <c r="I147" s="1">
        <v>45427</v>
      </c>
      <c r="J147">
        <v>39.49</v>
      </c>
      <c r="K147">
        <v>36.686</v>
      </c>
      <c r="L147">
        <v>35.795000000000002</v>
      </c>
      <c r="M147">
        <v>29.411999999999999</v>
      </c>
      <c r="N147">
        <v>21.739000000000001</v>
      </c>
      <c r="O147">
        <v>21.739000000000001</v>
      </c>
      <c r="P147">
        <v>29.411999999999999</v>
      </c>
      <c r="Q147">
        <v>21.739000000000001</v>
      </c>
      <c r="R147">
        <v>21.739000000000001</v>
      </c>
      <c r="S147">
        <v>0</v>
      </c>
      <c r="T147">
        <v>0</v>
      </c>
      <c r="U147">
        <v>0</v>
      </c>
      <c r="V147">
        <f t="shared" si="6"/>
        <v>24.578499999999998</v>
      </c>
      <c r="W147">
        <f t="shared" si="7"/>
        <v>20.041</v>
      </c>
      <c r="X147">
        <f t="shared" si="8"/>
        <v>19.818250000000003</v>
      </c>
      <c r="Y147">
        <v>13</v>
      </c>
      <c r="Z147" s="2" t="s">
        <v>26</v>
      </c>
    </row>
    <row r="148" spans="1:26" x14ac:dyDescent="0.25">
      <c r="A148">
        <v>742</v>
      </c>
      <c r="B148">
        <v>2</v>
      </c>
      <c r="C148" t="s">
        <v>22</v>
      </c>
      <c r="D148" t="s">
        <v>23</v>
      </c>
      <c r="E148" t="s">
        <v>24</v>
      </c>
      <c r="F148" t="s">
        <v>170</v>
      </c>
      <c r="G148" t="str">
        <f>VLOOKUP(F148,Hospitals!E:H,4,FALSE)</f>
        <v>30.26458 , 77.0478</v>
      </c>
      <c r="H148" s="1">
        <v>45427</v>
      </c>
      <c r="I148" s="1">
        <v>45427</v>
      </c>
      <c r="J148">
        <v>39.49</v>
      </c>
      <c r="K148">
        <v>36.686</v>
      </c>
      <c r="L148">
        <v>35.795000000000002</v>
      </c>
      <c r="M148">
        <v>29.411999999999999</v>
      </c>
      <c r="N148">
        <v>21.739000000000001</v>
      </c>
      <c r="O148">
        <v>21.739000000000001</v>
      </c>
      <c r="P148">
        <v>29.411999999999999</v>
      </c>
      <c r="Q148">
        <v>21.739000000000001</v>
      </c>
      <c r="R148">
        <v>21.739000000000001</v>
      </c>
      <c r="S148">
        <v>0</v>
      </c>
      <c r="T148">
        <v>0</v>
      </c>
      <c r="U148">
        <v>0</v>
      </c>
      <c r="V148">
        <f t="shared" si="6"/>
        <v>24.578499999999998</v>
      </c>
      <c r="W148">
        <f t="shared" si="7"/>
        <v>20.041</v>
      </c>
      <c r="X148">
        <f t="shared" si="8"/>
        <v>19.818250000000003</v>
      </c>
      <c r="Y148">
        <v>13</v>
      </c>
      <c r="Z148" s="2" t="s">
        <v>26</v>
      </c>
    </row>
    <row r="149" spans="1:26" x14ac:dyDescent="0.25">
      <c r="A149">
        <v>750</v>
      </c>
      <c r="B149">
        <v>20</v>
      </c>
      <c r="C149" t="s">
        <v>22</v>
      </c>
      <c r="D149" t="s">
        <v>23</v>
      </c>
      <c r="E149" t="s">
        <v>27</v>
      </c>
      <c r="F149" t="s">
        <v>171</v>
      </c>
      <c r="G149" t="str">
        <f>VLOOKUP(F149,Hospitals!E:H,4,FALSE)</f>
        <v>28.99308 , 77.01507</v>
      </c>
      <c r="H149" s="1">
        <v>45430</v>
      </c>
      <c r="I149" s="1">
        <v>45430</v>
      </c>
      <c r="J149">
        <v>24.841000000000001</v>
      </c>
      <c r="K149">
        <v>23.077000000000002</v>
      </c>
      <c r="L149">
        <v>22.158999999999999</v>
      </c>
      <c r="M149">
        <v>23.529</v>
      </c>
      <c r="N149">
        <v>17.390999999999998</v>
      </c>
      <c r="O149">
        <v>17.390999999999998</v>
      </c>
      <c r="P149">
        <v>23.529</v>
      </c>
      <c r="Q149">
        <v>17.390999999999998</v>
      </c>
      <c r="R149">
        <v>17.390999999999998</v>
      </c>
      <c r="S149">
        <v>0</v>
      </c>
      <c r="T149">
        <v>0</v>
      </c>
      <c r="U149">
        <v>0</v>
      </c>
      <c r="V149">
        <f t="shared" si="6"/>
        <v>17.97475</v>
      </c>
      <c r="W149">
        <f t="shared" si="7"/>
        <v>14.46475</v>
      </c>
      <c r="X149">
        <f t="shared" si="8"/>
        <v>14.235249999999999</v>
      </c>
      <c r="Y149">
        <v>13</v>
      </c>
      <c r="Z149" s="2" t="s">
        <v>26</v>
      </c>
    </row>
    <row r="150" spans="1:26" x14ac:dyDescent="0.25">
      <c r="A150">
        <v>1034</v>
      </c>
      <c r="B150">
        <v>200</v>
      </c>
      <c r="C150" t="s">
        <v>22</v>
      </c>
      <c r="D150" t="s">
        <v>166</v>
      </c>
      <c r="E150" t="s">
        <v>24</v>
      </c>
      <c r="F150" t="s">
        <v>172</v>
      </c>
      <c r="G150" t="str">
        <f>VLOOKUP(F150,Hospitals!E:H,4,FALSE)</f>
        <v>28.9668 , 75.95354</v>
      </c>
      <c r="H150" s="1">
        <v>45552</v>
      </c>
      <c r="I150" t="s">
        <v>35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f t="shared" si="6"/>
        <v>0</v>
      </c>
      <c r="W150">
        <f t="shared" si="7"/>
        <v>0</v>
      </c>
      <c r="X150">
        <f t="shared" si="8"/>
        <v>0</v>
      </c>
      <c r="Y150">
        <v>13</v>
      </c>
      <c r="Z150" s="2" t="s">
        <v>168</v>
      </c>
    </row>
    <row r="151" spans="1:26" x14ac:dyDescent="0.25">
      <c r="A151">
        <v>991</v>
      </c>
      <c r="B151">
        <v>201</v>
      </c>
      <c r="C151" t="s">
        <v>22</v>
      </c>
      <c r="D151" t="s">
        <v>166</v>
      </c>
      <c r="E151" t="s">
        <v>24</v>
      </c>
      <c r="F151" t="s">
        <v>173</v>
      </c>
      <c r="G151" t="str">
        <f>VLOOKUP(F151,Hospitals!E:H,4,FALSE)</f>
        <v>28.99308 , 77.01507</v>
      </c>
      <c r="H151" s="1">
        <v>45532</v>
      </c>
      <c r="I151" t="s">
        <v>35</v>
      </c>
      <c r="J151">
        <v>0</v>
      </c>
      <c r="K151">
        <v>0</v>
      </c>
      <c r="L151">
        <v>0</v>
      </c>
      <c r="M151">
        <v>35.293999999999997</v>
      </c>
      <c r="N151">
        <v>26.087</v>
      </c>
      <c r="O151">
        <v>26.087</v>
      </c>
      <c r="P151">
        <v>35.293999999999997</v>
      </c>
      <c r="Q151">
        <v>26.087</v>
      </c>
      <c r="R151">
        <v>26.087</v>
      </c>
      <c r="S151">
        <v>10</v>
      </c>
      <c r="T151">
        <v>8.3330000000000002</v>
      </c>
      <c r="U151">
        <v>0</v>
      </c>
      <c r="V151">
        <f t="shared" si="6"/>
        <v>20.146999999999998</v>
      </c>
      <c r="W151">
        <f t="shared" si="7"/>
        <v>15.126749999999999</v>
      </c>
      <c r="X151">
        <f t="shared" si="8"/>
        <v>13.0435</v>
      </c>
      <c r="Y151">
        <v>13</v>
      </c>
      <c r="Z151" s="2" t="s">
        <v>168</v>
      </c>
    </row>
    <row r="152" spans="1:26" x14ac:dyDescent="0.25">
      <c r="A152">
        <v>817</v>
      </c>
      <c r="B152">
        <v>202</v>
      </c>
      <c r="C152" t="s">
        <v>22</v>
      </c>
      <c r="D152" t="s">
        <v>166</v>
      </c>
      <c r="E152" t="s">
        <v>27</v>
      </c>
      <c r="F152" t="s">
        <v>174</v>
      </c>
      <c r="G152" t="e">
        <f>VLOOKUP(F152,Hospitals!E:H,4,FALSE)</f>
        <v>#N/A</v>
      </c>
      <c r="H152" s="1">
        <v>45464</v>
      </c>
      <c r="I152" t="s">
        <v>35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f t="shared" si="6"/>
        <v>0</v>
      </c>
      <c r="W152">
        <f t="shared" si="7"/>
        <v>0</v>
      </c>
      <c r="X152">
        <f t="shared" si="8"/>
        <v>0</v>
      </c>
      <c r="Y152">
        <v>13</v>
      </c>
      <c r="Z152" s="2" t="s">
        <v>168</v>
      </c>
    </row>
    <row r="153" spans="1:26" x14ac:dyDescent="0.25">
      <c r="A153">
        <v>823</v>
      </c>
      <c r="B153">
        <v>203</v>
      </c>
      <c r="C153" t="s">
        <v>22</v>
      </c>
      <c r="D153" t="s">
        <v>166</v>
      </c>
      <c r="E153" t="s">
        <v>27</v>
      </c>
      <c r="F153" t="s">
        <v>175</v>
      </c>
      <c r="G153" t="e">
        <f>VLOOKUP(F153,Hospitals!E:H,4,FALSE)</f>
        <v>#N/A</v>
      </c>
      <c r="H153" s="1">
        <v>45464</v>
      </c>
      <c r="I153" t="s">
        <v>35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f t="shared" si="6"/>
        <v>0</v>
      </c>
      <c r="W153">
        <f t="shared" si="7"/>
        <v>0</v>
      </c>
      <c r="X153">
        <f t="shared" si="8"/>
        <v>0</v>
      </c>
      <c r="Y153">
        <v>13</v>
      </c>
      <c r="Z153" s="2" t="s">
        <v>168</v>
      </c>
    </row>
    <row r="154" spans="1:26" x14ac:dyDescent="0.25">
      <c r="A154">
        <v>976</v>
      </c>
      <c r="B154">
        <v>204</v>
      </c>
      <c r="C154" t="s">
        <v>22</v>
      </c>
      <c r="D154" t="s">
        <v>166</v>
      </c>
      <c r="E154" t="s">
        <v>27</v>
      </c>
      <c r="F154" t="s">
        <v>176</v>
      </c>
      <c r="G154" t="e">
        <f>VLOOKUP(F154,Hospitals!E:H,4,FALSE)</f>
        <v>#N/A</v>
      </c>
      <c r="H154" s="1">
        <v>45526</v>
      </c>
      <c r="I154" t="s">
        <v>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f t="shared" si="6"/>
        <v>0</v>
      </c>
      <c r="W154">
        <f t="shared" si="7"/>
        <v>0</v>
      </c>
      <c r="X154">
        <f t="shared" si="8"/>
        <v>0</v>
      </c>
      <c r="Y154">
        <v>13</v>
      </c>
      <c r="Z154" s="2" t="s">
        <v>168</v>
      </c>
    </row>
    <row r="155" spans="1:26" x14ac:dyDescent="0.25">
      <c r="A155">
        <v>971</v>
      </c>
      <c r="B155">
        <v>206</v>
      </c>
      <c r="C155" t="s">
        <v>22</v>
      </c>
      <c r="D155" t="s">
        <v>166</v>
      </c>
      <c r="E155" t="s">
        <v>27</v>
      </c>
      <c r="F155" t="s">
        <v>177</v>
      </c>
      <c r="G155" t="e">
        <f>VLOOKUP(F155,Hospitals!E:H,4,FALSE)</f>
        <v>#N/A</v>
      </c>
      <c r="H155" s="1">
        <v>45526</v>
      </c>
      <c r="I155" t="s">
        <v>35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f t="shared" si="6"/>
        <v>0</v>
      </c>
      <c r="W155">
        <f t="shared" si="7"/>
        <v>0</v>
      </c>
      <c r="X155">
        <f t="shared" si="8"/>
        <v>0</v>
      </c>
      <c r="Y155">
        <v>13</v>
      </c>
      <c r="Z155" s="2" t="s">
        <v>168</v>
      </c>
    </row>
    <row r="156" spans="1:26" x14ac:dyDescent="0.25">
      <c r="A156">
        <v>995</v>
      </c>
      <c r="B156">
        <v>207</v>
      </c>
      <c r="C156" t="s">
        <v>22</v>
      </c>
      <c r="D156" t="s">
        <v>166</v>
      </c>
      <c r="E156" t="s">
        <v>27</v>
      </c>
      <c r="F156" t="s">
        <v>178</v>
      </c>
      <c r="G156" t="str">
        <f>VLOOKUP(F156,Hospitals!E:H,4,FALSE)</f>
        <v>28.65646 , 76.84903</v>
      </c>
      <c r="H156" s="1">
        <v>45533</v>
      </c>
      <c r="I156" t="s">
        <v>35</v>
      </c>
      <c r="J156">
        <v>18.471</v>
      </c>
      <c r="K156">
        <v>17.16</v>
      </c>
      <c r="L156">
        <v>16.477</v>
      </c>
      <c r="M156">
        <v>29.411999999999999</v>
      </c>
      <c r="N156">
        <v>21.739000000000001</v>
      </c>
      <c r="O156">
        <v>21.739000000000001</v>
      </c>
      <c r="P156">
        <v>29.411999999999999</v>
      </c>
      <c r="Q156">
        <v>21.739000000000001</v>
      </c>
      <c r="R156">
        <v>21.739000000000001</v>
      </c>
      <c r="S156">
        <v>0</v>
      </c>
      <c r="T156">
        <v>0</v>
      </c>
      <c r="U156">
        <v>0</v>
      </c>
      <c r="V156">
        <f t="shared" si="6"/>
        <v>19.323749999999997</v>
      </c>
      <c r="W156">
        <f t="shared" si="7"/>
        <v>15.159500000000001</v>
      </c>
      <c r="X156">
        <f t="shared" si="8"/>
        <v>14.98875</v>
      </c>
      <c r="Y156">
        <v>13</v>
      </c>
      <c r="Z156" s="2" t="s">
        <v>168</v>
      </c>
    </row>
    <row r="157" spans="1:26" x14ac:dyDescent="0.25">
      <c r="A157">
        <v>1129</v>
      </c>
      <c r="B157">
        <v>209</v>
      </c>
      <c r="C157" t="s">
        <v>22</v>
      </c>
      <c r="D157" t="s">
        <v>166</v>
      </c>
      <c r="E157" t="s">
        <v>27</v>
      </c>
      <c r="F157" t="s">
        <v>179</v>
      </c>
      <c r="G157" t="e">
        <f>VLOOKUP(F157,Hospitals!E:H,4,FALSE)</f>
        <v>#N/A</v>
      </c>
      <c r="H157" s="1">
        <v>45677</v>
      </c>
      <c r="I157" t="s">
        <v>35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f t="shared" si="6"/>
        <v>0</v>
      </c>
      <c r="W157">
        <f t="shared" si="7"/>
        <v>0</v>
      </c>
      <c r="X157">
        <f t="shared" si="8"/>
        <v>0</v>
      </c>
      <c r="Y157">
        <v>13</v>
      </c>
      <c r="Z157" s="2" t="s">
        <v>168</v>
      </c>
    </row>
    <row r="158" spans="1:26" x14ac:dyDescent="0.25">
      <c r="A158">
        <v>749</v>
      </c>
      <c r="B158">
        <v>21</v>
      </c>
      <c r="C158" t="s">
        <v>22</v>
      </c>
      <c r="D158" t="s">
        <v>23</v>
      </c>
      <c r="E158" t="s">
        <v>27</v>
      </c>
      <c r="F158" t="s">
        <v>180</v>
      </c>
      <c r="G158" t="str">
        <f>VLOOKUP(F158,Hospitals!E:H,4,FALSE)</f>
        <v>30.28297 , 76.71056</v>
      </c>
      <c r="H158" s="1">
        <v>45429</v>
      </c>
      <c r="I158" s="1">
        <v>45429</v>
      </c>
      <c r="J158">
        <v>15.923999999999999</v>
      </c>
      <c r="K158">
        <v>14.792999999999999</v>
      </c>
      <c r="L158">
        <v>14.205</v>
      </c>
      <c r="M158">
        <v>11.765000000000001</v>
      </c>
      <c r="N158">
        <v>8.6959999999999997</v>
      </c>
      <c r="O158">
        <v>8.6959999999999997</v>
      </c>
      <c r="P158">
        <v>11.765000000000001</v>
      </c>
      <c r="Q158">
        <v>8.6959999999999997</v>
      </c>
      <c r="R158">
        <v>8.6959999999999997</v>
      </c>
      <c r="S158">
        <v>0</v>
      </c>
      <c r="T158">
        <v>0</v>
      </c>
      <c r="U158">
        <v>0</v>
      </c>
      <c r="V158">
        <f t="shared" si="6"/>
        <v>9.8635000000000002</v>
      </c>
      <c r="W158">
        <f t="shared" si="7"/>
        <v>8.0462499999999988</v>
      </c>
      <c r="X158">
        <f t="shared" si="8"/>
        <v>7.8992500000000003</v>
      </c>
      <c r="Y158">
        <v>13</v>
      </c>
      <c r="Z158" s="2" t="s">
        <v>26</v>
      </c>
    </row>
    <row r="159" spans="1:26" x14ac:dyDescent="0.25">
      <c r="A159">
        <v>815</v>
      </c>
      <c r="B159">
        <v>210</v>
      </c>
      <c r="C159" t="s">
        <v>22</v>
      </c>
      <c r="D159" t="s">
        <v>166</v>
      </c>
      <c r="E159" t="s">
        <v>27</v>
      </c>
      <c r="F159" t="s">
        <v>181</v>
      </c>
      <c r="G159" t="str">
        <f>VLOOKUP(F159,Hospitals!E:H,4,FALSE)</f>
        <v>28.44571 , 76.469</v>
      </c>
      <c r="H159" s="1">
        <v>45464</v>
      </c>
      <c r="I159" t="s">
        <v>35</v>
      </c>
      <c r="J159">
        <v>2.548</v>
      </c>
      <c r="K159">
        <v>2.367</v>
      </c>
      <c r="L159">
        <v>2.2730000000000001</v>
      </c>
      <c r="M159">
        <v>23.529</v>
      </c>
      <c r="N159">
        <v>21.739000000000001</v>
      </c>
      <c r="O159">
        <v>21.739000000000001</v>
      </c>
      <c r="P159">
        <v>23.529</v>
      </c>
      <c r="Q159">
        <v>21.739000000000001</v>
      </c>
      <c r="R159">
        <v>21.739000000000001</v>
      </c>
      <c r="S159">
        <v>0</v>
      </c>
      <c r="T159">
        <v>0</v>
      </c>
      <c r="U159">
        <v>0</v>
      </c>
      <c r="V159">
        <f t="shared" si="6"/>
        <v>12.401499999999999</v>
      </c>
      <c r="W159">
        <f t="shared" si="7"/>
        <v>11.46125</v>
      </c>
      <c r="X159">
        <f t="shared" si="8"/>
        <v>11.437750000000001</v>
      </c>
      <c r="Y159">
        <v>13</v>
      </c>
      <c r="Z159" s="2" t="s">
        <v>168</v>
      </c>
    </row>
    <row r="160" spans="1:26" x14ac:dyDescent="0.25">
      <c r="A160">
        <v>826</v>
      </c>
      <c r="B160">
        <v>211</v>
      </c>
      <c r="C160" t="s">
        <v>22</v>
      </c>
      <c r="D160" t="s">
        <v>166</v>
      </c>
      <c r="E160" t="s">
        <v>27</v>
      </c>
      <c r="F160" t="s">
        <v>182</v>
      </c>
      <c r="G160" t="str">
        <f>VLOOKUP(F160,Hospitals!E:H,4,FALSE)</f>
        <v>28.45705 , 76.32998</v>
      </c>
      <c r="H160" s="1">
        <v>45467</v>
      </c>
      <c r="I160" t="s">
        <v>35</v>
      </c>
      <c r="J160">
        <v>0</v>
      </c>
      <c r="K160">
        <v>0</v>
      </c>
      <c r="L160">
        <v>0</v>
      </c>
      <c r="M160">
        <v>64.706000000000003</v>
      </c>
      <c r="N160">
        <v>52.173999999999999</v>
      </c>
      <c r="O160">
        <v>52.173999999999999</v>
      </c>
      <c r="P160">
        <v>64.706000000000003</v>
      </c>
      <c r="Q160">
        <v>52.173999999999999</v>
      </c>
      <c r="R160">
        <v>52.173999999999999</v>
      </c>
      <c r="S160">
        <v>0</v>
      </c>
      <c r="T160">
        <v>0</v>
      </c>
      <c r="U160">
        <v>0</v>
      </c>
      <c r="V160">
        <f t="shared" si="6"/>
        <v>32.353000000000002</v>
      </c>
      <c r="W160">
        <f t="shared" si="7"/>
        <v>26.087</v>
      </c>
      <c r="X160">
        <f t="shared" si="8"/>
        <v>26.087</v>
      </c>
      <c r="Y160">
        <v>13</v>
      </c>
      <c r="Z160" s="2" t="s">
        <v>168</v>
      </c>
    </row>
    <row r="161" spans="1:26" x14ac:dyDescent="0.25">
      <c r="A161">
        <v>820</v>
      </c>
      <c r="B161">
        <v>212</v>
      </c>
      <c r="C161" t="s">
        <v>22</v>
      </c>
      <c r="D161" t="s">
        <v>166</v>
      </c>
      <c r="E161" t="s">
        <v>27</v>
      </c>
      <c r="F161" t="s">
        <v>183</v>
      </c>
      <c r="G161" t="str">
        <f>VLOOKUP(F161,Hospitals!E:H,4,FALSE)</f>
        <v>28.74409 , 76.87373</v>
      </c>
      <c r="H161" s="1">
        <v>45464</v>
      </c>
      <c r="I161" t="s">
        <v>35</v>
      </c>
      <c r="J161">
        <v>17.834</v>
      </c>
      <c r="K161">
        <v>16.568000000000001</v>
      </c>
      <c r="L161">
        <v>15.909000000000001</v>
      </c>
      <c r="M161">
        <v>35.293999999999997</v>
      </c>
      <c r="N161">
        <v>26.087</v>
      </c>
      <c r="O161">
        <v>26.087</v>
      </c>
      <c r="P161">
        <v>35.293999999999997</v>
      </c>
      <c r="Q161">
        <v>26.087</v>
      </c>
      <c r="R161">
        <v>26.087</v>
      </c>
      <c r="S161">
        <v>0</v>
      </c>
      <c r="T161">
        <v>0</v>
      </c>
      <c r="U161">
        <v>0</v>
      </c>
      <c r="V161">
        <f t="shared" si="6"/>
        <v>22.105499999999999</v>
      </c>
      <c r="W161">
        <f t="shared" si="7"/>
        <v>17.185500000000001</v>
      </c>
      <c r="X161">
        <f t="shared" si="8"/>
        <v>17.02075</v>
      </c>
      <c r="Y161">
        <v>13</v>
      </c>
      <c r="Z161" s="2" t="s">
        <v>168</v>
      </c>
    </row>
    <row r="162" spans="1:26" x14ac:dyDescent="0.25">
      <c r="A162">
        <v>816</v>
      </c>
      <c r="B162">
        <v>212</v>
      </c>
      <c r="C162" t="s">
        <v>22</v>
      </c>
      <c r="D162" t="s">
        <v>166</v>
      </c>
      <c r="E162" t="s">
        <v>27</v>
      </c>
      <c r="F162" t="s">
        <v>183</v>
      </c>
      <c r="G162" t="str">
        <f>VLOOKUP(F162,Hospitals!E:H,4,FALSE)</f>
        <v>28.74409 , 76.87373</v>
      </c>
      <c r="H162" s="1">
        <v>45464</v>
      </c>
      <c r="I162" s="1">
        <v>45464</v>
      </c>
      <c r="J162">
        <v>17.834</v>
      </c>
      <c r="K162">
        <v>16.568000000000001</v>
      </c>
      <c r="L162">
        <v>15.909000000000001</v>
      </c>
      <c r="M162">
        <v>35.293999999999997</v>
      </c>
      <c r="N162">
        <v>26.087</v>
      </c>
      <c r="O162">
        <v>26.087</v>
      </c>
      <c r="P162">
        <v>35.293999999999997</v>
      </c>
      <c r="Q162">
        <v>26.087</v>
      </c>
      <c r="R162">
        <v>26.087</v>
      </c>
      <c r="S162">
        <v>0</v>
      </c>
      <c r="T162">
        <v>0</v>
      </c>
      <c r="U162">
        <v>0</v>
      </c>
      <c r="V162">
        <f t="shared" si="6"/>
        <v>22.105499999999999</v>
      </c>
      <c r="W162">
        <f t="shared" si="7"/>
        <v>17.185500000000001</v>
      </c>
      <c r="X162">
        <f t="shared" si="8"/>
        <v>17.02075</v>
      </c>
      <c r="Y162">
        <v>13</v>
      </c>
      <c r="Z162" s="2" t="s">
        <v>168</v>
      </c>
    </row>
    <row r="163" spans="1:26" x14ac:dyDescent="0.25">
      <c r="A163">
        <v>1027</v>
      </c>
      <c r="B163">
        <v>213</v>
      </c>
      <c r="C163" t="s">
        <v>22</v>
      </c>
      <c r="D163" t="s">
        <v>166</v>
      </c>
      <c r="E163" t="s">
        <v>27</v>
      </c>
      <c r="F163" t="s">
        <v>184</v>
      </c>
      <c r="G163" t="str">
        <f>VLOOKUP(F163,Hospitals!E:H,4,FALSE)</f>
        <v>28.69535 , 76.94485</v>
      </c>
      <c r="H163" s="1">
        <v>45548</v>
      </c>
      <c r="I163" t="s">
        <v>35</v>
      </c>
      <c r="J163">
        <v>2.548</v>
      </c>
      <c r="K163">
        <v>2.367</v>
      </c>
      <c r="L163">
        <v>2.2730000000000001</v>
      </c>
      <c r="M163">
        <v>23.529</v>
      </c>
      <c r="N163">
        <v>17.390999999999998</v>
      </c>
      <c r="O163">
        <v>17.390999999999998</v>
      </c>
      <c r="P163">
        <v>23.529</v>
      </c>
      <c r="Q163">
        <v>17.390999999999998</v>
      </c>
      <c r="R163">
        <v>17.390999999999998</v>
      </c>
      <c r="S163">
        <v>0</v>
      </c>
      <c r="T163">
        <v>0</v>
      </c>
      <c r="U163">
        <v>0</v>
      </c>
      <c r="V163">
        <f t="shared" si="6"/>
        <v>12.401499999999999</v>
      </c>
      <c r="W163">
        <f t="shared" si="7"/>
        <v>9.2872500000000002</v>
      </c>
      <c r="X163">
        <f t="shared" si="8"/>
        <v>9.2637499999999982</v>
      </c>
      <c r="Y163">
        <v>13</v>
      </c>
      <c r="Z163" s="2" t="s">
        <v>168</v>
      </c>
    </row>
    <row r="164" spans="1:26" x14ac:dyDescent="0.25">
      <c r="A164">
        <v>977</v>
      </c>
      <c r="B164">
        <v>214</v>
      </c>
      <c r="C164" t="s">
        <v>22</v>
      </c>
      <c r="D164" t="s">
        <v>166</v>
      </c>
      <c r="E164" t="s">
        <v>27</v>
      </c>
      <c r="F164" t="s">
        <v>185</v>
      </c>
      <c r="G164" t="str">
        <f>VLOOKUP(F164,Hospitals!E:H,4,FALSE)</f>
        <v>28.67528 , 76.9196</v>
      </c>
      <c r="H164" s="1">
        <v>45527</v>
      </c>
      <c r="I164" t="s">
        <v>35</v>
      </c>
      <c r="J164">
        <v>0</v>
      </c>
      <c r="K164">
        <v>0</v>
      </c>
      <c r="L164">
        <v>0</v>
      </c>
      <c r="M164">
        <v>29.411999999999999</v>
      </c>
      <c r="N164">
        <v>21.739000000000001</v>
      </c>
      <c r="O164">
        <v>21.739000000000001</v>
      </c>
      <c r="P164">
        <v>29.411999999999999</v>
      </c>
      <c r="Q164">
        <v>21.739000000000001</v>
      </c>
      <c r="R164">
        <v>21.739000000000001</v>
      </c>
      <c r="S164">
        <v>0</v>
      </c>
      <c r="T164">
        <v>0</v>
      </c>
      <c r="U164">
        <v>0</v>
      </c>
      <c r="V164">
        <f t="shared" si="6"/>
        <v>14.706</v>
      </c>
      <c r="W164">
        <f t="shared" si="7"/>
        <v>10.8695</v>
      </c>
      <c r="X164">
        <f t="shared" si="8"/>
        <v>10.8695</v>
      </c>
      <c r="Y164">
        <v>13</v>
      </c>
      <c r="Z164" s="2" t="s">
        <v>168</v>
      </c>
    </row>
    <row r="165" spans="1:26" x14ac:dyDescent="0.25">
      <c r="A165">
        <v>978</v>
      </c>
      <c r="B165">
        <v>215</v>
      </c>
      <c r="C165" t="s">
        <v>22</v>
      </c>
      <c r="D165" t="s">
        <v>166</v>
      </c>
      <c r="E165" t="s">
        <v>30</v>
      </c>
      <c r="F165" t="s">
        <v>186</v>
      </c>
      <c r="G165" t="e">
        <f>VLOOKUP(F165,Hospitals!E:H,4,FALSE)</f>
        <v>#N/A</v>
      </c>
      <c r="H165" s="1">
        <v>45526</v>
      </c>
      <c r="I165" t="s">
        <v>35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f t="shared" si="6"/>
        <v>0</v>
      </c>
      <c r="W165">
        <f t="shared" si="7"/>
        <v>0</v>
      </c>
      <c r="X165">
        <f t="shared" si="8"/>
        <v>0</v>
      </c>
      <c r="Y165">
        <v>13</v>
      </c>
      <c r="Z165" s="2" t="s">
        <v>168</v>
      </c>
    </row>
    <row r="166" spans="1:26" x14ac:dyDescent="0.25">
      <c r="A166">
        <v>411</v>
      </c>
      <c r="B166">
        <v>216</v>
      </c>
      <c r="C166" t="s">
        <v>22</v>
      </c>
      <c r="D166" t="s">
        <v>166</v>
      </c>
      <c r="E166" t="s">
        <v>30</v>
      </c>
      <c r="F166" t="s">
        <v>187</v>
      </c>
      <c r="G166" t="str">
        <f>VLOOKUP(F166,Hospitals!E:H,4,FALSE)</f>
        <v>28.99051 , 76.98735</v>
      </c>
      <c r="H166" s="1">
        <v>45370</v>
      </c>
      <c r="I166" t="s">
        <v>35</v>
      </c>
      <c r="J166">
        <v>57.325000000000003</v>
      </c>
      <c r="K166">
        <v>58.58</v>
      </c>
      <c r="L166">
        <v>56.25</v>
      </c>
      <c r="M166">
        <v>88.234999999999999</v>
      </c>
      <c r="N166">
        <v>82.608999999999995</v>
      </c>
      <c r="O166">
        <v>82.608999999999995</v>
      </c>
      <c r="P166">
        <v>88.234999999999999</v>
      </c>
      <c r="Q166">
        <v>82.608999999999995</v>
      </c>
      <c r="R166">
        <v>82.608999999999995</v>
      </c>
      <c r="S166">
        <v>0</v>
      </c>
      <c r="T166">
        <v>0</v>
      </c>
      <c r="U166">
        <v>0</v>
      </c>
      <c r="V166">
        <f t="shared" si="6"/>
        <v>58.448750000000004</v>
      </c>
      <c r="W166">
        <f t="shared" si="7"/>
        <v>55.9495</v>
      </c>
      <c r="X166">
        <f t="shared" si="8"/>
        <v>55.36699999999999</v>
      </c>
      <c r="Y166">
        <v>13</v>
      </c>
      <c r="Z166" s="2" t="s">
        <v>168</v>
      </c>
    </row>
    <row r="167" spans="1:26" x14ac:dyDescent="0.25">
      <c r="A167">
        <v>287</v>
      </c>
      <c r="B167">
        <v>217</v>
      </c>
      <c r="C167" t="s">
        <v>22</v>
      </c>
      <c r="D167" t="s">
        <v>166</v>
      </c>
      <c r="E167" t="s">
        <v>30</v>
      </c>
      <c r="F167" t="s">
        <v>188</v>
      </c>
      <c r="G167" t="e">
        <f>VLOOKUP(F167,Hospitals!E:H,4,FALSE)</f>
        <v>#N/A</v>
      </c>
      <c r="H167" s="1">
        <v>45346</v>
      </c>
      <c r="I167" t="s">
        <v>35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f t="shared" si="6"/>
        <v>0</v>
      </c>
      <c r="W167">
        <f t="shared" si="7"/>
        <v>0</v>
      </c>
      <c r="X167">
        <f t="shared" si="8"/>
        <v>0</v>
      </c>
      <c r="Y167">
        <v>13</v>
      </c>
      <c r="Z167" s="2" t="s">
        <v>168</v>
      </c>
    </row>
    <row r="168" spans="1:26" x14ac:dyDescent="0.25">
      <c r="A168">
        <v>407</v>
      </c>
      <c r="B168">
        <v>218</v>
      </c>
      <c r="C168" t="s">
        <v>22</v>
      </c>
      <c r="D168" t="s">
        <v>166</v>
      </c>
      <c r="E168" t="s">
        <v>30</v>
      </c>
      <c r="F168" t="s">
        <v>189</v>
      </c>
      <c r="G168" t="str">
        <f>VLOOKUP(F168,Hospitals!E:H,4,FALSE)</f>
        <v>28.60302 , 76.64631</v>
      </c>
      <c r="H168" s="1">
        <v>45464</v>
      </c>
      <c r="I168" t="s">
        <v>35</v>
      </c>
      <c r="J168">
        <v>98.088999999999999</v>
      </c>
      <c r="K168">
        <v>97.040999999999997</v>
      </c>
      <c r="L168">
        <v>97.159000000000006</v>
      </c>
      <c r="M168">
        <v>88.234999999999999</v>
      </c>
      <c r="N168">
        <v>86.956999999999994</v>
      </c>
      <c r="O168">
        <v>86.956999999999994</v>
      </c>
      <c r="P168">
        <v>88.234999999999999</v>
      </c>
      <c r="Q168">
        <v>86.956999999999994</v>
      </c>
      <c r="R168">
        <v>86.956999999999994</v>
      </c>
      <c r="S168">
        <v>40</v>
      </c>
      <c r="T168">
        <v>33.332999999999998</v>
      </c>
      <c r="U168">
        <v>21.428999999999998</v>
      </c>
      <c r="V168">
        <f t="shared" si="6"/>
        <v>78.639750000000006</v>
      </c>
      <c r="W168">
        <f t="shared" si="7"/>
        <v>76.072000000000003</v>
      </c>
      <c r="X168">
        <f t="shared" si="8"/>
        <v>73.125499999999988</v>
      </c>
      <c r="Y168">
        <v>13</v>
      </c>
      <c r="Z168" s="2" t="s">
        <v>168</v>
      </c>
    </row>
    <row r="169" spans="1:26" x14ac:dyDescent="0.25">
      <c r="A169">
        <v>441</v>
      </c>
      <c r="B169">
        <v>219</v>
      </c>
      <c r="C169" t="s">
        <v>22</v>
      </c>
      <c r="D169" t="s">
        <v>166</v>
      </c>
      <c r="E169" t="s">
        <v>30</v>
      </c>
      <c r="F169" t="s">
        <v>190</v>
      </c>
      <c r="G169" t="str">
        <f>VLOOKUP(F169,Hospitals!E:H,4,FALSE)</f>
        <v>28.61177 , 76.64319</v>
      </c>
      <c r="H169" s="1">
        <v>45373</v>
      </c>
      <c r="I169" s="1">
        <v>45373</v>
      </c>
      <c r="J169">
        <v>86.623999999999995</v>
      </c>
      <c r="K169">
        <v>85.799000000000007</v>
      </c>
      <c r="L169">
        <v>84.659000000000006</v>
      </c>
      <c r="M169">
        <v>47.058999999999997</v>
      </c>
      <c r="N169">
        <v>52.173999999999999</v>
      </c>
      <c r="O169">
        <v>52.173999999999999</v>
      </c>
      <c r="P169">
        <v>47.058999999999997</v>
      </c>
      <c r="Q169">
        <v>52.173999999999999</v>
      </c>
      <c r="R169">
        <v>52.173999999999999</v>
      </c>
      <c r="S169">
        <v>20</v>
      </c>
      <c r="T169">
        <v>25</v>
      </c>
      <c r="U169">
        <v>7.1429999999999998</v>
      </c>
      <c r="V169">
        <f t="shared" si="6"/>
        <v>50.185499999999998</v>
      </c>
      <c r="W169">
        <f t="shared" si="7"/>
        <v>53.786750000000005</v>
      </c>
      <c r="X169">
        <f t="shared" si="8"/>
        <v>49.037500000000001</v>
      </c>
      <c r="Y169">
        <v>13</v>
      </c>
      <c r="Z169" s="2" t="s">
        <v>168</v>
      </c>
    </row>
    <row r="170" spans="1:26" x14ac:dyDescent="0.25">
      <c r="A170">
        <v>761</v>
      </c>
      <c r="B170">
        <v>22</v>
      </c>
      <c r="C170" t="s">
        <v>22</v>
      </c>
      <c r="D170" t="s">
        <v>23</v>
      </c>
      <c r="E170" t="s">
        <v>27</v>
      </c>
      <c r="F170" t="s">
        <v>191</v>
      </c>
      <c r="G170" t="str">
        <f>VLOOKUP(F170,Hospitals!E:H,4,FALSE)</f>
        <v>30.45169 , 77.03342</v>
      </c>
      <c r="H170" s="1">
        <v>45450</v>
      </c>
      <c r="I170" t="s">
        <v>35</v>
      </c>
      <c r="J170">
        <v>0</v>
      </c>
      <c r="K170">
        <v>0</v>
      </c>
      <c r="L170">
        <v>0</v>
      </c>
      <c r="M170">
        <v>17.646999999999998</v>
      </c>
      <c r="N170">
        <v>13.042999999999999</v>
      </c>
      <c r="O170">
        <v>13.042999999999999</v>
      </c>
      <c r="P170">
        <v>17.646999999999998</v>
      </c>
      <c r="Q170">
        <v>13.042999999999999</v>
      </c>
      <c r="R170">
        <v>13.042999999999999</v>
      </c>
      <c r="S170">
        <v>0</v>
      </c>
      <c r="T170">
        <v>0</v>
      </c>
      <c r="U170">
        <v>0</v>
      </c>
      <c r="V170">
        <f t="shared" si="6"/>
        <v>8.8234999999999992</v>
      </c>
      <c r="W170">
        <f t="shared" si="7"/>
        <v>6.5214999999999996</v>
      </c>
      <c r="X170">
        <f t="shared" si="8"/>
        <v>6.5214999999999996</v>
      </c>
      <c r="Y170">
        <v>13</v>
      </c>
      <c r="Z170" s="2" t="s">
        <v>26</v>
      </c>
    </row>
    <row r="171" spans="1:26" x14ac:dyDescent="0.25">
      <c r="A171">
        <v>992</v>
      </c>
      <c r="B171">
        <v>220</v>
      </c>
      <c r="C171" t="s">
        <v>22</v>
      </c>
      <c r="D171" t="s">
        <v>166</v>
      </c>
      <c r="E171" t="s">
        <v>77</v>
      </c>
      <c r="F171" t="s">
        <v>192</v>
      </c>
      <c r="G171" t="str">
        <f>VLOOKUP(F171,Hospitals!E:H,4,FALSE)</f>
        <v>28.99308 , 77.01507</v>
      </c>
      <c r="H171" s="1">
        <v>45532</v>
      </c>
      <c r="I171" t="s">
        <v>35</v>
      </c>
      <c r="J171">
        <v>0</v>
      </c>
      <c r="K171">
        <v>0</v>
      </c>
      <c r="L171">
        <v>0</v>
      </c>
      <c r="M171">
        <v>41.176000000000002</v>
      </c>
      <c r="N171">
        <v>39.130000000000003</v>
      </c>
      <c r="O171">
        <v>39.130000000000003</v>
      </c>
      <c r="P171">
        <v>41.176000000000002</v>
      </c>
      <c r="Q171">
        <v>39.130000000000003</v>
      </c>
      <c r="R171">
        <v>39.130000000000003</v>
      </c>
      <c r="S171">
        <v>20</v>
      </c>
      <c r="T171">
        <v>8.3330000000000002</v>
      </c>
      <c r="U171">
        <v>0</v>
      </c>
      <c r="V171">
        <f t="shared" si="6"/>
        <v>25.588000000000001</v>
      </c>
      <c r="W171">
        <f t="shared" si="7"/>
        <v>21.648250000000001</v>
      </c>
      <c r="X171">
        <f t="shared" si="8"/>
        <v>19.565000000000001</v>
      </c>
      <c r="Y171">
        <v>13</v>
      </c>
      <c r="Z171" s="2" t="s">
        <v>168</v>
      </c>
    </row>
    <row r="172" spans="1:26" x14ac:dyDescent="0.25">
      <c r="A172">
        <v>825</v>
      </c>
      <c r="B172">
        <v>221</v>
      </c>
      <c r="C172" t="s">
        <v>22</v>
      </c>
      <c r="D172" t="s">
        <v>166</v>
      </c>
      <c r="E172" t="s">
        <v>77</v>
      </c>
      <c r="F172" t="s">
        <v>193</v>
      </c>
      <c r="G172" t="str">
        <f>VLOOKUP(F172,Hospitals!E:H,4,FALSE)</f>
        <v>28.75039 , 76.75456</v>
      </c>
      <c r="H172" s="1">
        <v>45464</v>
      </c>
      <c r="I172" t="s">
        <v>35</v>
      </c>
      <c r="J172">
        <v>17.196999999999999</v>
      </c>
      <c r="K172">
        <v>15.976000000000001</v>
      </c>
      <c r="L172">
        <v>15.340999999999999</v>
      </c>
      <c r="M172">
        <v>11.765000000000001</v>
      </c>
      <c r="N172">
        <v>8.6959999999999997</v>
      </c>
      <c r="O172">
        <v>8.6959999999999997</v>
      </c>
      <c r="P172">
        <v>11.765000000000001</v>
      </c>
      <c r="Q172">
        <v>8.6959999999999997</v>
      </c>
      <c r="R172">
        <v>8.6959999999999997</v>
      </c>
      <c r="S172">
        <v>0</v>
      </c>
      <c r="T172">
        <v>0</v>
      </c>
      <c r="U172">
        <v>0</v>
      </c>
      <c r="V172">
        <f t="shared" si="6"/>
        <v>10.181750000000001</v>
      </c>
      <c r="W172">
        <f t="shared" si="7"/>
        <v>8.3420000000000005</v>
      </c>
      <c r="X172">
        <f t="shared" si="8"/>
        <v>8.1832499999999992</v>
      </c>
      <c r="Y172">
        <v>13</v>
      </c>
      <c r="Z172" s="2" t="s">
        <v>168</v>
      </c>
    </row>
    <row r="173" spans="1:26" x14ac:dyDescent="0.25">
      <c r="A173">
        <v>818</v>
      </c>
      <c r="B173">
        <v>221</v>
      </c>
      <c r="C173" t="s">
        <v>22</v>
      </c>
      <c r="D173" t="s">
        <v>166</v>
      </c>
      <c r="E173" t="s">
        <v>77</v>
      </c>
      <c r="F173" t="s">
        <v>193</v>
      </c>
      <c r="G173" t="str">
        <f>VLOOKUP(F173,Hospitals!E:H,4,FALSE)</f>
        <v>28.75039 , 76.75456</v>
      </c>
      <c r="H173" s="1">
        <v>45464</v>
      </c>
      <c r="I173" s="1">
        <v>45464</v>
      </c>
      <c r="J173">
        <v>17.196999999999999</v>
      </c>
      <c r="K173">
        <v>15.976000000000001</v>
      </c>
      <c r="L173">
        <v>15.340999999999999</v>
      </c>
      <c r="M173">
        <v>11.765000000000001</v>
      </c>
      <c r="N173">
        <v>8.6959999999999997</v>
      </c>
      <c r="O173">
        <v>8.6959999999999997</v>
      </c>
      <c r="P173">
        <v>11.765000000000001</v>
      </c>
      <c r="Q173">
        <v>8.6959999999999997</v>
      </c>
      <c r="R173">
        <v>8.6959999999999997</v>
      </c>
      <c r="S173">
        <v>0</v>
      </c>
      <c r="T173">
        <v>0</v>
      </c>
      <c r="U173">
        <v>0</v>
      </c>
      <c r="V173">
        <f t="shared" si="6"/>
        <v>10.181750000000001</v>
      </c>
      <c r="W173">
        <f t="shared" si="7"/>
        <v>8.3420000000000005</v>
      </c>
      <c r="X173">
        <f t="shared" si="8"/>
        <v>8.1832499999999992</v>
      </c>
      <c r="Y173">
        <v>13</v>
      </c>
      <c r="Z173" s="2" t="s">
        <v>168</v>
      </c>
    </row>
    <row r="174" spans="1:26" x14ac:dyDescent="0.25">
      <c r="A174">
        <v>953</v>
      </c>
      <c r="B174">
        <v>222</v>
      </c>
      <c r="C174" t="s">
        <v>22</v>
      </c>
      <c r="D174" t="s">
        <v>166</v>
      </c>
      <c r="E174" t="s">
        <v>77</v>
      </c>
      <c r="F174" t="s">
        <v>194</v>
      </c>
      <c r="G174" t="e">
        <f>VLOOKUP(F174,Hospitals!E:H,4,FALSE)</f>
        <v>#N/A</v>
      </c>
      <c r="H174" s="1">
        <v>45514</v>
      </c>
      <c r="I174" t="s">
        <v>35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f t="shared" si="6"/>
        <v>0</v>
      </c>
      <c r="W174">
        <f t="shared" si="7"/>
        <v>0</v>
      </c>
      <c r="X174">
        <f t="shared" si="8"/>
        <v>0</v>
      </c>
      <c r="Y174">
        <v>13</v>
      </c>
      <c r="Z174" s="2" t="s">
        <v>168</v>
      </c>
    </row>
    <row r="175" spans="1:26" x14ac:dyDescent="0.25">
      <c r="A175">
        <v>1384</v>
      </c>
      <c r="B175">
        <v>224</v>
      </c>
      <c r="C175" t="s">
        <v>22</v>
      </c>
      <c r="D175" t="s">
        <v>195</v>
      </c>
      <c r="E175" t="s">
        <v>24</v>
      </c>
      <c r="F175" t="s">
        <v>196</v>
      </c>
      <c r="G175" t="str">
        <f>VLOOKUP(F175,Hospitals!E:H,4,FALSE)</f>
        <v>29.31245 , 76.33038</v>
      </c>
      <c r="H175" s="1">
        <v>46063</v>
      </c>
      <c r="I175" s="1">
        <v>46063</v>
      </c>
      <c r="J175">
        <v>53.503</v>
      </c>
      <c r="K175">
        <v>49.704000000000001</v>
      </c>
      <c r="L175">
        <v>48.295000000000002</v>
      </c>
      <c r="M175">
        <v>11.765000000000001</v>
      </c>
      <c r="N175">
        <v>8.6959999999999997</v>
      </c>
      <c r="O175">
        <v>8.6959999999999997</v>
      </c>
      <c r="P175">
        <v>11.765000000000001</v>
      </c>
      <c r="Q175">
        <v>8.6959999999999997</v>
      </c>
      <c r="R175">
        <v>8.6959999999999997</v>
      </c>
      <c r="S175">
        <v>10</v>
      </c>
      <c r="T175">
        <v>8.3330000000000002</v>
      </c>
      <c r="U175">
        <v>0</v>
      </c>
      <c r="V175">
        <f t="shared" si="6"/>
        <v>21.75825</v>
      </c>
      <c r="W175">
        <f t="shared" si="7"/>
        <v>18.857250000000001</v>
      </c>
      <c r="X175">
        <f t="shared" si="8"/>
        <v>16.421749999999999</v>
      </c>
      <c r="Y175">
        <v>13</v>
      </c>
      <c r="Z175" s="2" t="s">
        <v>197</v>
      </c>
    </row>
    <row r="176" spans="1:26" x14ac:dyDescent="0.25">
      <c r="A176">
        <v>627</v>
      </c>
      <c r="B176">
        <v>225</v>
      </c>
      <c r="C176" t="s">
        <v>22</v>
      </c>
      <c r="D176" t="s">
        <v>195</v>
      </c>
      <c r="E176" t="s">
        <v>24</v>
      </c>
      <c r="F176" t="s">
        <v>198</v>
      </c>
      <c r="G176" t="str">
        <f>VLOOKUP(F176,Hospitals!E:H,4,FALSE)</f>
        <v>30.3951 , 76.7942</v>
      </c>
      <c r="H176" s="1">
        <v>46043</v>
      </c>
      <c r="I176" s="1">
        <v>46043</v>
      </c>
      <c r="J176">
        <v>28.661999999999999</v>
      </c>
      <c r="K176">
        <v>26.626999999999999</v>
      </c>
      <c r="L176">
        <v>25.568000000000001</v>
      </c>
      <c r="M176">
        <v>23.529</v>
      </c>
      <c r="N176">
        <v>17.390999999999998</v>
      </c>
      <c r="O176">
        <v>17.390999999999998</v>
      </c>
      <c r="P176">
        <v>23.529</v>
      </c>
      <c r="Q176">
        <v>17.390999999999998</v>
      </c>
      <c r="R176">
        <v>17.390999999999998</v>
      </c>
      <c r="S176">
        <v>10</v>
      </c>
      <c r="T176">
        <v>8.3330000000000002</v>
      </c>
      <c r="U176">
        <v>0</v>
      </c>
      <c r="V176">
        <f t="shared" si="6"/>
        <v>21.43</v>
      </c>
      <c r="W176">
        <f t="shared" si="7"/>
        <v>17.435500000000001</v>
      </c>
      <c r="X176">
        <f t="shared" si="8"/>
        <v>15.0875</v>
      </c>
      <c r="Y176">
        <v>13</v>
      </c>
      <c r="Z176" s="2" t="s">
        <v>197</v>
      </c>
    </row>
    <row r="177" spans="1:26" x14ac:dyDescent="0.25">
      <c r="A177">
        <v>1346</v>
      </c>
      <c r="B177">
        <v>226</v>
      </c>
      <c r="C177" t="s">
        <v>22</v>
      </c>
      <c r="D177" t="s">
        <v>195</v>
      </c>
      <c r="E177" t="s">
        <v>24</v>
      </c>
      <c r="F177" t="s">
        <v>199</v>
      </c>
      <c r="G177" t="str">
        <f>VLOOKUP(F177,Hospitals!E:H,4,FALSE)</f>
        <v>29.43313 , 76.5674</v>
      </c>
      <c r="H177" s="1">
        <v>46050</v>
      </c>
      <c r="I177" s="1">
        <v>46053</v>
      </c>
      <c r="J177">
        <v>37.58</v>
      </c>
      <c r="K177">
        <v>34.911000000000001</v>
      </c>
      <c r="L177">
        <v>33.523000000000003</v>
      </c>
      <c r="M177">
        <v>47.058999999999997</v>
      </c>
      <c r="N177">
        <v>34.783000000000001</v>
      </c>
      <c r="O177">
        <v>34.783000000000001</v>
      </c>
      <c r="P177">
        <v>47.058999999999997</v>
      </c>
      <c r="Q177">
        <v>34.783000000000001</v>
      </c>
      <c r="R177">
        <v>34.783000000000001</v>
      </c>
      <c r="S177">
        <v>0</v>
      </c>
      <c r="T177">
        <v>0</v>
      </c>
      <c r="U177">
        <v>0</v>
      </c>
      <c r="V177">
        <f t="shared" si="6"/>
        <v>32.924499999999995</v>
      </c>
      <c r="W177">
        <f t="shared" si="7"/>
        <v>26.119250000000001</v>
      </c>
      <c r="X177">
        <f t="shared" si="8"/>
        <v>25.772250000000003</v>
      </c>
      <c r="Y177">
        <v>13</v>
      </c>
      <c r="Z177" s="2" t="s">
        <v>197</v>
      </c>
    </row>
    <row r="178" spans="1:26" x14ac:dyDescent="0.25">
      <c r="A178">
        <v>613</v>
      </c>
      <c r="B178">
        <v>228</v>
      </c>
      <c r="C178" t="s">
        <v>22</v>
      </c>
      <c r="D178" t="s">
        <v>195</v>
      </c>
      <c r="E178" t="s">
        <v>24</v>
      </c>
      <c r="F178" t="s">
        <v>200</v>
      </c>
      <c r="G178" t="str">
        <f>VLOOKUP(F178,Hospitals!E:H,4,FALSE)</f>
        <v>29.31254 , 76.33037</v>
      </c>
      <c r="H178" s="1">
        <v>46052</v>
      </c>
      <c r="I178" s="1">
        <v>46052</v>
      </c>
      <c r="J178">
        <v>22.93</v>
      </c>
      <c r="K178">
        <v>21.302</v>
      </c>
      <c r="L178">
        <v>20.454999999999998</v>
      </c>
      <c r="M178">
        <v>47.058999999999997</v>
      </c>
      <c r="N178">
        <v>34.783000000000001</v>
      </c>
      <c r="O178">
        <v>34.783000000000001</v>
      </c>
      <c r="P178">
        <v>47.058999999999997</v>
      </c>
      <c r="Q178">
        <v>34.783000000000001</v>
      </c>
      <c r="R178">
        <v>34.783000000000001</v>
      </c>
      <c r="S178">
        <v>0</v>
      </c>
      <c r="T178">
        <v>0</v>
      </c>
      <c r="U178">
        <v>0</v>
      </c>
      <c r="V178">
        <f t="shared" si="6"/>
        <v>29.262</v>
      </c>
      <c r="W178">
        <f t="shared" si="7"/>
        <v>22.716999999999999</v>
      </c>
      <c r="X178">
        <f t="shared" si="8"/>
        <v>22.50525</v>
      </c>
      <c r="Y178">
        <v>13</v>
      </c>
      <c r="Z178" s="2" t="s">
        <v>197</v>
      </c>
    </row>
    <row r="179" spans="1:26" x14ac:dyDescent="0.25">
      <c r="A179">
        <v>1372</v>
      </c>
      <c r="B179">
        <v>229</v>
      </c>
      <c r="C179" t="s">
        <v>22</v>
      </c>
      <c r="D179" t="s">
        <v>195</v>
      </c>
      <c r="E179" t="s">
        <v>24</v>
      </c>
      <c r="F179" t="s">
        <v>201</v>
      </c>
      <c r="G179" t="str">
        <f>VLOOKUP(F179,Hospitals!E:H,4,FALSE)</f>
        <v>29.31262 , 76.33037</v>
      </c>
      <c r="H179" s="1">
        <v>46079</v>
      </c>
      <c r="I179" s="1">
        <v>46079</v>
      </c>
      <c r="J179">
        <v>26.114999999999998</v>
      </c>
      <c r="K179">
        <v>24.26</v>
      </c>
      <c r="L179">
        <v>23.295000000000002</v>
      </c>
      <c r="M179">
        <v>35.293999999999997</v>
      </c>
      <c r="N179">
        <v>26.087</v>
      </c>
      <c r="O179">
        <v>26.087</v>
      </c>
      <c r="P179">
        <v>35.293999999999997</v>
      </c>
      <c r="Q179">
        <v>26.087</v>
      </c>
      <c r="R179">
        <v>26.087</v>
      </c>
      <c r="S179">
        <v>0</v>
      </c>
      <c r="T179">
        <v>0</v>
      </c>
      <c r="U179">
        <v>0</v>
      </c>
      <c r="V179">
        <f t="shared" si="6"/>
        <v>24.175749999999997</v>
      </c>
      <c r="W179">
        <f t="shared" si="7"/>
        <v>19.108499999999999</v>
      </c>
      <c r="X179">
        <f t="shared" si="8"/>
        <v>18.867250000000002</v>
      </c>
      <c r="Y179">
        <v>13</v>
      </c>
      <c r="Z179" s="2" t="s">
        <v>197</v>
      </c>
    </row>
    <row r="180" spans="1:26" x14ac:dyDescent="0.25">
      <c r="A180">
        <v>760</v>
      </c>
      <c r="B180">
        <v>23</v>
      </c>
      <c r="C180" t="s">
        <v>22</v>
      </c>
      <c r="D180" t="s">
        <v>23</v>
      </c>
      <c r="E180" t="s">
        <v>27</v>
      </c>
      <c r="F180" t="s">
        <v>202</v>
      </c>
      <c r="G180" t="str">
        <f>VLOOKUP(F180,Hospitals!E:H,4,FALSE)</f>
        <v>29.04954 , 75.57425</v>
      </c>
      <c r="H180" s="1">
        <v>45439</v>
      </c>
      <c r="I180" s="1">
        <v>45439</v>
      </c>
      <c r="J180">
        <v>39.49</v>
      </c>
      <c r="K180">
        <v>36.686</v>
      </c>
      <c r="L180">
        <v>35.226999999999997</v>
      </c>
      <c r="M180">
        <v>70.587999999999994</v>
      </c>
      <c r="N180">
        <v>52.173999999999999</v>
      </c>
      <c r="O180">
        <v>52.173999999999999</v>
      </c>
      <c r="P180">
        <v>70.587999999999994</v>
      </c>
      <c r="Q180">
        <v>52.173999999999999</v>
      </c>
      <c r="R180">
        <v>52.173999999999999</v>
      </c>
      <c r="S180">
        <v>0</v>
      </c>
      <c r="T180">
        <v>0</v>
      </c>
      <c r="U180">
        <v>0</v>
      </c>
      <c r="V180">
        <f t="shared" si="6"/>
        <v>45.166499999999999</v>
      </c>
      <c r="W180">
        <f t="shared" si="7"/>
        <v>35.258499999999998</v>
      </c>
      <c r="X180">
        <f t="shared" si="8"/>
        <v>34.893749999999997</v>
      </c>
      <c r="Y180">
        <v>13</v>
      </c>
      <c r="Z180" s="2" t="s">
        <v>26</v>
      </c>
    </row>
    <row r="181" spans="1:26" x14ac:dyDescent="0.25">
      <c r="A181">
        <v>1354</v>
      </c>
      <c r="B181">
        <v>231</v>
      </c>
      <c r="C181" t="s">
        <v>22</v>
      </c>
      <c r="D181" t="s">
        <v>195</v>
      </c>
      <c r="E181" t="s">
        <v>27</v>
      </c>
      <c r="F181" t="s">
        <v>203</v>
      </c>
      <c r="G181" t="str">
        <f>VLOOKUP(F181,Hospitals!E:H,4,FALSE)</f>
        <v>29.31257 , 76.33036</v>
      </c>
      <c r="H181" s="1">
        <v>46079</v>
      </c>
      <c r="I181" s="1">
        <v>46079</v>
      </c>
      <c r="J181">
        <v>21.018999999999998</v>
      </c>
      <c r="K181">
        <v>19.527000000000001</v>
      </c>
      <c r="L181">
        <v>18.75</v>
      </c>
      <c r="M181">
        <v>11.765000000000001</v>
      </c>
      <c r="N181">
        <v>8.6959999999999997</v>
      </c>
      <c r="O181">
        <v>8.6959999999999997</v>
      </c>
      <c r="P181">
        <v>11.765000000000001</v>
      </c>
      <c r="Q181">
        <v>8.6959999999999997</v>
      </c>
      <c r="R181">
        <v>8.6959999999999997</v>
      </c>
      <c r="S181">
        <v>0</v>
      </c>
      <c r="T181">
        <v>8.3330000000000002</v>
      </c>
      <c r="U181">
        <v>0</v>
      </c>
      <c r="V181">
        <f t="shared" si="6"/>
        <v>11.13725</v>
      </c>
      <c r="W181">
        <f t="shared" si="7"/>
        <v>11.312999999999999</v>
      </c>
      <c r="X181">
        <f t="shared" si="8"/>
        <v>9.035499999999999</v>
      </c>
      <c r="Y181">
        <v>13</v>
      </c>
      <c r="Z181" s="2" t="s">
        <v>197</v>
      </c>
    </row>
    <row r="182" spans="1:26" x14ac:dyDescent="0.25">
      <c r="A182">
        <v>1353</v>
      </c>
      <c r="B182">
        <v>232</v>
      </c>
      <c r="C182" t="s">
        <v>22</v>
      </c>
      <c r="D182" t="s">
        <v>195</v>
      </c>
      <c r="E182" t="s">
        <v>27</v>
      </c>
      <c r="F182" t="s">
        <v>204</v>
      </c>
      <c r="G182" t="str">
        <f>VLOOKUP(F182,Hospitals!E:H,4,FALSE)</f>
        <v>29.31257 , 76.33037</v>
      </c>
      <c r="H182" s="1">
        <v>46079</v>
      </c>
      <c r="I182" s="1">
        <v>46079</v>
      </c>
      <c r="J182">
        <v>21.018999999999998</v>
      </c>
      <c r="K182">
        <v>19.527000000000001</v>
      </c>
      <c r="L182">
        <v>18.75</v>
      </c>
      <c r="M182">
        <v>29.411999999999999</v>
      </c>
      <c r="N182">
        <v>21.739000000000001</v>
      </c>
      <c r="O182">
        <v>21.739000000000001</v>
      </c>
      <c r="P182">
        <v>29.411999999999999</v>
      </c>
      <c r="Q182">
        <v>21.739000000000001</v>
      </c>
      <c r="R182">
        <v>21.739000000000001</v>
      </c>
      <c r="S182">
        <v>0</v>
      </c>
      <c r="T182">
        <v>0</v>
      </c>
      <c r="U182">
        <v>0</v>
      </c>
      <c r="V182">
        <f t="shared" si="6"/>
        <v>19.960749999999997</v>
      </c>
      <c r="W182">
        <f t="shared" si="7"/>
        <v>15.751250000000002</v>
      </c>
      <c r="X182">
        <f t="shared" si="8"/>
        <v>15.557000000000002</v>
      </c>
      <c r="Y182">
        <v>13</v>
      </c>
      <c r="Z182" s="2" t="s">
        <v>197</v>
      </c>
    </row>
    <row r="183" spans="1:26" x14ac:dyDescent="0.25">
      <c r="A183">
        <v>1362</v>
      </c>
      <c r="B183">
        <v>233</v>
      </c>
      <c r="C183" t="s">
        <v>22</v>
      </c>
      <c r="D183" t="s">
        <v>195</v>
      </c>
      <c r="E183" t="s">
        <v>27</v>
      </c>
      <c r="F183" t="s">
        <v>205</v>
      </c>
      <c r="G183" t="str">
        <f>VLOOKUP(F183,Hospitals!E:H,4,FALSE)</f>
        <v>29.7296 , 76.4423</v>
      </c>
      <c r="H183" s="1">
        <v>46044</v>
      </c>
      <c r="I183" s="1">
        <v>46046</v>
      </c>
      <c r="J183">
        <v>3.1850000000000001</v>
      </c>
      <c r="K183">
        <v>2.9590000000000001</v>
      </c>
      <c r="L183">
        <v>2.8410000000000002</v>
      </c>
      <c r="M183">
        <v>17.646999999999998</v>
      </c>
      <c r="N183">
        <v>13.042999999999999</v>
      </c>
      <c r="O183">
        <v>13.042999999999999</v>
      </c>
      <c r="P183">
        <v>17.646999999999998</v>
      </c>
      <c r="Q183">
        <v>13.042999999999999</v>
      </c>
      <c r="R183">
        <v>13.042999999999999</v>
      </c>
      <c r="S183">
        <v>0</v>
      </c>
      <c r="T183">
        <v>0</v>
      </c>
      <c r="U183">
        <v>0</v>
      </c>
      <c r="V183">
        <f t="shared" si="6"/>
        <v>9.6197499999999998</v>
      </c>
      <c r="W183">
        <f t="shared" si="7"/>
        <v>7.2612499999999995</v>
      </c>
      <c r="X183">
        <f t="shared" si="8"/>
        <v>7.2317499999999999</v>
      </c>
      <c r="Y183">
        <v>13</v>
      </c>
      <c r="Z183" s="2" t="s">
        <v>197</v>
      </c>
    </row>
    <row r="184" spans="1:26" x14ac:dyDescent="0.25">
      <c r="A184">
        <v>1351</v>
      </c>
      <c r="B184">
        <v>234</v>
      </c>
      <c r="C184" t="s">
        <v>22</v>
      </c>
      <c r="D184" t="s">
        <v>195</v>
      </c>
      <c r="E184" t="s">
        <v>27</v>
      </c>
      <c r="F184" t="s">
        <v>206</v>
      </c>
      <c r="G184" t="str">
        <f>VLOOKUP(F184,Hospitals!E:H,4,FALSE)</f>
        <v>29.31246 , 76.33028</v>
      </c>
      <c r="H184" s="1">
        <v>46071</v>
      </c>
      <c r="I184" s="1">
        <v>46071</v>
      </c>
      <c r="J184">
        <v>25.478000000000002</v>
      </c>
      <c r="K184">
        <v>23.669</v>
      </c>
      <c r="L184">
        <v>22.727</v>
      </c>
      <c r="M184">
        <v>35.293999999999997</v>
      </c>
      <c r="N184">
        <v>26.087</v>
      </c>
      <c r="O184">
        <v>26.087</v>
      </c>
      <c r="P184">
        <v>35.293999999999997</v>
      </c>
      <c r="Q184">
        <v>26.087</v>
      </c>
      <c r="R184">
        <v>26.087</v>
      </c>
      <c r="S184">
        <v>0</v>
      </c>
      <c r="T184">
        <v>0</v>
      </c>
      <c r="U184">
        <v>0</v>
      </c>
      <c r="V184">
        <f t="shared" si="6"/>
        <v>24.016500000000001</v>
      </c>
      <c r="W184">
        <f t="shared" si="7"/>
        <v>18.960750000000001</v>
      </c>
      <c r="X184">
        <f t="shared" si="8"/>
        <v>18.725249999999999</v>
      </c>
      <c r="Y184">
        <v>13</v>
      </c>
      <c r="Z184" s="2" t="s">
        <v>197</v>
      </c>
    </row>
    <row r="185" spans="1:26" x14ac:dyDescent="0.25">
      <c r="A185">
        <v>1348</v>
      </c>
      <c r="B185">
        <v>235</v>
      </c>
      <c r="C185" t="s">
        <v>22</v>
      </c>
      <c r="D185" t="s">
        <v>195</v>
      </c>
      <c r="E185" t="s">
        <v>27</v>
      </c>
      <c r="F185" t="s">
        <v>207</v>
      </c>
      <c r="G185" t="str">
        <f>VLOOKUP(F185,Hospitals!E:H,4,FALSE)</f>
        <v>29.31244 , 76.3303</v>
      </c>
      <c r="H185" s="1">
        <v>46071</v>
      </c>
      <c r="I185" s="1">
        <v>46071</v>
      </c>
      <c r="J185">
        <v>19.108000000000001</v>
      </c>
      <c r="K185">
        <v>17.751000000000001</v>
      </c>
      <c r="L185">
        <v>17.045000000000002</v>
      </c>
      <c r="M185">
        <v>35.293999999999997</v>
      </c>
      <c r="N185">
        <v>26.087</v>
      </c>
      <c r="O185">
        <v>26.087</v>
      </c>
      <c r="P185">
        <v>35.293999999999997</v>
      </c>
      <c r="Q185">
        <v>26.087</v>
      </c>
      <c r="R185">
        <v>26.087</v>
      </c>
      <c r="S185">
        <v>0</v>
      </c>
      <c r="T185">
        <v>0</v>
      </c>
      <c r="U185">
        <v>0</v>
      </c>
      <c r="V185">
        <f t="shared" si="6"/>
        <v>22.423999999999999</v>
      </c>
      <c r="W185">
        <f t="shared" si="7"/>
        <v>17.481249999999999</v>
      </c>
      <c r="X185">
        <f t="shared" si="8"/>
        <v>17.304750000000002</v>
      </c>
      <c r="Y185">
        <v>13</v>
      </c>
      <c r="Z185" s="2" t="s">
        <v>197</v>
      </c>
    </row>
    <row r="186" spans="1:26" x14ac:dyDescent="0.25">
      <c r="A186">
        <v>1361</v>
      </c>
      <c r="B186">
        <v>236</v>
      </c>
      <c r="C186" t="s">
        <v>22</v>
      </c>
      <c r="D186" t="s">
        <v>195</v>
      </c>
      <c r="E186" t="s">
        <v>27</v>
      </c>
      <c r="F186" t="s">
        <v>208</v>
      </c>
      <c r="G186" t="str">
        <f>VLOOKUP(F186,Hospitals!E:H,4,FALSE)</f>
        <v>29.31626 , 76.34719</v>
      </c>
      <c r="H186" s="1">
        <v>46044</v>
      </c>
      <c r="I186" s="1">
        <v>46046</v>
      </c>
      <c r="J186">
        <v>0</v>
      </c>
      <c r="K186">
        <v>0</v>
      </c>
      <c r="L186">
        <v>0</v>
      </c>
      <c r="M186">
        <v>5.8819999999999997</v>
      </c>
      <c r="N186">
        <v>4.3479999999999999</v>
      </c>
      <c r="O186">
        <v>4.3479999999999999</v>
      </c>
      <c r="P186">
        <v>5.8819999999999997</v>
      </c>
      <c r="Q186">
        <v>4.3479999999999999</v>
      </c>
      <c r="R186">
        <v>4.3479999999999999</v>
      </c>
      <c r="S186">
        <v>0</v>
      </c>
      <c r="T186">
        <v>0</v>
      </c>
      <c r="U186">
        <v>0</v>
      </c>
      <c r="V186">
        <f t="shared" si="6"/>
        <v>2.9409999999999998</v>
      </c>
      <c r="W186">
        <f t="shared" si="7"/>
        <v>2.1739999999999999</v>
      </c>
      <c r="X186">
        <f t="shared" si="8"/>
        <v>2.1739999999999999</v>
      </c>
      <c r="Y186">
        <v>13</v>
      </c>
      <c r="Z186" s="2" t="s">
        <v>197</v>
      </c>
    </row>
    <row r="187" spans="1:26" x14ac:dyDescent="0.25">
      <c r="A187">
        <v>1383</v>
      </c>
      <c r="B187">
        <v>237</v>
      </c>
      <c r="C187" t="s">
        <v>22</v>
      </c>
      <c r="D187" t="s">
        <v>195</v>
      </c>
      <c r="E187" t="s">
        <v>27</v>
      </c>
      <c r="F187" t="s">
        <v>209</v>
      </c>
      <c r="G187" t="str">
        <f>VLOOKUP(F187,Hospitals!E:H,4,FALSE)</f>
        <v>29.31255 , 76.3304</v>
      </c>
      <c r="H187" s="1">
        <v>46063</v>
      </c>
      <c r="I187" s="1">
        <v>46063</v>
      </c>
      <c r="J187">
        <v>17.196999999999999</v>
      </c>
      <c r="K187">
        <v>15.976000000000001</v>
      </c>
      <c r="L187">
        <v>15.340999999999999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f t="shared" si="6"/>
        <v>4.2992499999999998</v>
      </c>
      <c r="W187">
        <f t="shared" si="7"/>
        <v>3.9940000000000002</v>
      </c>
      <c r="X187">
        <f t="shared" si="8"/>
        <v>3.8352499999999998</v>
      </c>
      <c r="Y187">
        <v>13</v>
      </c>
      <c r="Z187" s="2" t="s">
        <v>197</v>
      </c>
    </row>
    <row r="188" spans="1:26" x14ac:dyDescent="0.25">
      <c r="A188">
        <v>1390</v>
      </c>
      <c r="B188">
        <v>238</v>
      </c>
      <c r="C188" t="s">
        <v>22</v>
      </c>
      <c r="D188" t="s">
        <v>195</v>
      </c>
      <c r="E188" t="s">
        <v>27</v>
      </c>
      <c r="F188" t="s">
        <v>210</v>
      </c>
      <c r="G188" t="str">
        <f>VLOOKUP(F188,Hospitals!E:H,4,FALSE)</f>
        <v>29.31254 , 76.33035</v>
      </c>
      <c r="H188" s="1">
        <v>46083</v>
      </c>
      <c r="I188" s="1">
        <v>46083</v>
      </c>
      <c r="J188">
        <v>11.465</v>
      </c>
      <c r="K188">
        <v>10.651</v>
      </c>
      <c r="L188">
        <v>10.227</v>
      </c>
      <c r="M188">
        <v>5.8819999999999997</v>
      </c>
      <c r="N188">
        <v>4.3479999999999999</v>
      </c>
      <c r="O188">
        <v>4.3479999999999999</v>
      </c>
      <c r="P188">
        <v>5.8819999999999997</v>
      </c>
      <c r="Q188">
        <v>4.3479999999999999</v>
      </c>
      <c r="R188">
        <v>4.3479999999999999</v>
      </c>
      <c r="S188">
        <v>0</v>
      </c>
      <c r="T188">
        <v>0</v>
      </c>
      <c r="U188">
        <v>0</v>
      </c>
      <c r="V188">
        <f t="shared" si="6"/>
        <v>5.8072499999999998</v>
      </c>
      <c r="W188">
        <f t="shared" si="7"/>
        <v>4.8367499999999994</v>
      </c>
      <c r="X188">
        <f t="shared" si="8"/>
        <v>4.7307499999999996</v>
      </c>
      <c r="Y188">
        <v>13</v>
      </c>
      <c r="Z188" s="2" t="s">
        <v>197</v>
      </c>
    </row>
    <row r="189" spans="1:26" x14ac:dyDescent="0.25">
      <c r="A189">
        <v>1393</v>
      </c>
      <c r="B189">
        <v>239</v>
      </c>
      <c r="C189" t="s">
        <v>22</v>
      </c>
      <c r="D189" t="s">
        <v>195</v>
      </c>
      <c r="E189" t="s">
        <v>27</v>
      </c>
      <c r="F189" t="s">
        <v>211</v>
      </c>
      <c r="G189" t="str">
        <f>VLOOKUP(F189,Hospitals!E:H,4,FALSE)</f>
        <v>29.31258 , 76.33035</v>
      </c>
      <c r="H189" s="1">
        <v>46090</v>
      </c>
      <c r="I189" s="1">
        <v>46090</v>
      </c>
      <c r="J189">
        <v>11.465</v>
      </c>
      <c r="K189">
        <v>10.651</v>
      </c>
      <c r="L189">
        <v>10.227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f t="shared" si="6"/>
        <v>2.86625</v>
      </c>
      <c r="W189">
        <f t="shared" si="7"/>
        <v>2.66275</v>
      </c>
      <c r="X189">
        <f t="shared" si="8"/>
        <v>2.5567500000000001</v>
      </c>
      <c r="Y189">
        <v>13</v>
      </c>
      <c r="Z189" s="2" t="s">
        <v>197</v>
      </c>
    </row>
    <row r="190" spans="1:26" x14ac:dyDescent="0.25">
      <c r="A190">
        <v>778</v>
      </c>
      <c r="B190">
        <v>24</v>
      </c>
      <c r="C190" t="s">
        <v>22</v>
      </c>
      <c r="D190" t="s">
        <v>23</v>
      </c>
      <c r="E190" t="s">
        <v>30</v>
      </c>
      <c r="F190" t="s">
        <v>212</v>
      </c>
      <c r="G190" t="str">
        <f>VLOOKUP(F190,Hospitals!E:H,4,FALSE)</f>
        <v>30.26004 , 77.04492</v>
      </c>
      <c r="H190" s="1">
        <v>45449</v>
      </c>
      <c r="I190" s="1">
        <v>45449</v>
      </c>
      <c r="J190">
        <v>96.814999999999998</v>
      </c>
      <c r="K190">
        <v>97.040999999999997</v>
      </c>
      <c r="L190">
        <v>97.159000000000006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70</v>
      </c>
      <c r="T190">
        <v>75</v>
      </c>
      <c r="U190">
        <v>57.143000000000001</v>
      </c>
      <c r="V190">
        <f t="shared" si="6"/>
        <v>91.703749999999999</v>
      </c>
      <c r="W190">
        <f t="shared" si="7"/>
        <v>93.010249999999999</v>
      </c>
      <c r="X190">
        <f t="shared" si="8"/>
        <v>88.575500000000005</v>
      </c>
      <c r="Y190">
        <v>13</v>
      </c>
      <c r="Z190" s="2" t="s">
        <v>26</v>
      </c>
    </row>
    <row r="191" spans="1:26" x14ac:dyDescent="0.25">
      <c r="A191">
        <v>1371</v>
      </c>
      <c r="B191">
        <v>241</v>
      </c>
      <c r="C191" t="s">
        <v>22</v>
      </c>
      <c r="D191" t="s">
        <v>195</v>
      </c>
      <c r="E191" t="s">
        <v>27</v>
      </c>
      <c r="F191" t="s">
        <v>213</v>
      </c>
      <c r="G191" t="str">
        <f>VLOOKUP(F191,Hospitals!E:H,4,FALSE)</f>
        <v>29.31244 , 76.3303</v>
      </c>
      <c r="H191" s="1">
        <v>46070</v>
      </c>
      <c r="I191" s="1">
        <v>46070</v>
      </c>
      <c r="J191">
        <v>32.484000000000002</v>
      </c>
      <c r="K191">
        <v>30.178000000000001</v>
      </c>
      <c r="L191">
        <v>28.977</v>
      </c>
      <c r="M191">
        <v>17.646999999999998</v>
      </c>
      <c r="N191">
        <v>13.042999999999999</v>
      </c>
      <c r="O191">
        <v>13.042999999999999</v>
      </c>
      <c r="P191">
        <v>17.646999999999998</v>
      </c>
      <c r="Q191">
        <v>13.042999999999999</v>
      </c>
      <c r="R191">
        <v>13.042999999999999</v>
      </c>
      <c r="S191">
        <v>0</v>
      </c>
      <c r="T191">
        <v>0</v>
      </c>
      <c r="U191">
        <v>0</v>
      </c>
      <c r="V191">
        <f t="shared" si="6"/>
        <v>16.944499999999998</v>
      </c>
      <c r="W191">
        <f t="shared" si="7"/>
        <v>14.066000000000001</v>
      </c>
      <c r="X191">
        <f t="shared" si="8"/>
        <v>13.765749999999999</v>
      </c>
      <c r="Y191">
        <v>13</v>
      </c>
      <c r="Z191" s="2" t="s">
        <v>197</v>
      </c>
    </row>
    <row r="192" spans="1:26" x14ac:dyDescent="0.25">
      <c r="A192">
        <v>1358</v>
      </c>
      <c r="B192">
        <v>242</v>
      </c>
      <c r="C192" t="s">
        <v>22</v>
      </c>
      <c r="D192" t="s">
        <v>195</v>
      </c>
      <c r="E192" t="s">
        <v>27</v>
      </c>
      <c r="F192" t="s">
        <v>214</v>
      </c>
      <c r="G192" t="str">
        <f>VLOOKUP(F192,Hospitals!E:H,4,FALSE)</f>
        <v>29.25783 , 76.57384</v>
      </c>
      <c r="H192" s="1">
        <v>46044</v>
      </c>
      <c r="I192" s="1">
        <v>46046</v>
      </c>
      <c r="J192">
        <v>14.013</v>
      </c>
      <c r="K192">
        <v>13.018000000000001</v>
      </c>
      <c r="L192">
        <v>12.5</v>
      </c>
      <c r="M192">
        <v>29.411999999999999</v>
      </c>
      <c r="N192">
        <v>21.739000000000001</v>
      </c>
      <c r="O192">
        <v>21.739000000000001</v>
      </c>
      <c r="P192">
        <v>29.411999999999999</v>
      </c>
      <c r="Q192">
        <v>21.739000000000001</v>
      </c>
      <c r="R192">
        <v>21.739000000000001</v>
      </c>
      <c r="S192">
        <v>0</v>
      </c>
      <c r="T192">
        <v>0</v>
      </c>
      <c r="U192">
        <v>0</v>
      </c>
      <c r="V192">
        <f t="shared" si="6"/>
        <v>18.209249999999997</v>
      </c>
      <c r="W192">
        <f t="shared" si="7"/>
        <v>14.124000000000002</v>
      </c>
      <c r="X192">
        <f t="shared" si="8"/>
        <v>13.994500000000002</v>
      </c>
      <c r="Y192">
        <v>13</v>
      </c>
      <c r="Z192" s="2" t="s">
        <v>197</v>
      </c>
    </row>
    <row r="193" spans="1:26" x14ac:dyDescent="0.25">
      <c r="A193">
        <v>1349</v>
      </c>
      <c r="B193">
        <v>242</v>
      </c>
      <c r="C193" t="s">
        <v>22</v>
      </c>
      <c r="D193" t="s">
        <v>195</v>
      </c>
      <c r="E193" t="s">
        <v>27</v>
      </c>
      <c r="F193" t="s">
        <v>214</v>
      </c>
      <c r="G193" t="str">
        <f>VLOOKUP(F193,Hospitals!E:H,4,FALSE)</f>
        <v>29.25783 , 76.57384</v>
      </c>
      <c r="H193" s="1">
        <v>46044</v>
      </c>
      <c r="I193" s="1">
        <v>46044</v>
      </c>
      <c r="J193">
        <v>14.013</v>
      </c>
      <c r="K193">
        <v>13.018000000000001</v>
      </c>
      <c r="L193">
        <v>12.5</v>
      </c>
      <c r="M193">
        <v>29.411999999999999</v>
      </c>
      <c r="N193">
        <v>21.739000000000001</v>
      </c>
      <c r="O193">
        <v>21.739000000000001</v>
      </c>
      <c r="P193">
        <v>29.411999999999999</v>
      </c>
      <c r="Q193">
        <v>21.739000000000001</v>
      </c>
      <c r="R193">
        <v>21.739000000000001</v>
      </c>
      <c r="S193">
        <v>0</v>
      </c>
      <c r="T193">
        <v>0</v>
      </c>
      <c r="U193">
        <v>0</v>
      </c>
      <c r="V193">
        <f t="shared" si="6"/>
        <v>18.209249999999997</v>
      </c>
      <c r="W193">
        <f t="shared" si="7"/>
        <v>14.124000000000002</v>
      </c>
      <c r="X193">
        <f t="shared" si="8"/>
        <v>13.994500000000002</v>
      </c>
      <c r="Y193">
        <v>13</v>
      </c>
      <c r="Z193" s="2" t="s">
        <v>197</v>
      </c>
    </row>
    <row r="194" spans="1:26" x14ac:dyDescent="0.25">
      <c r="A194">
        <v>1357</v>
      </c>
      <c r="B194">
        <v>243</v>
      </c>
      <c r="C194" t="s">
        <v>22</v>
      </c>
      <c r="D194" t="s">
        <v>195</v>
      </c>
      <c r="E194" t="s">
        <v>27</v>
      </c>
      <c r="F194" t="s">
        <v>215</v>
      </c>
      <c r="G194" t="str">
        <f>VLOOKUP(F194,Hospitals!E:H,4,FALSE)</f>
        <v>29.38442 , 76.51602</v>
      </c>
      <c r="H194" s="1">
        <v>46052</v>
      </c>
      <c r="I194" s="1">
        <v>46053</v>
      </c>
      <c r="J194">
        <v>24.841000000000001</v>
      </c>
      <c r="K194">
        <v>23.077000000000002</v>
      </c>
      <c r="L194">
        <v>22.158999999999999</v>
      </c>
      <c r="M194">
        <v>23.529</v>
      </c>
      <c r="N194">
        <v>17.390999999999998</v>
      </c>
      <c r="O194">
        <v>17.390999999999998</v>
      </c>
      <c r="P194">
        <v>23.529</v>
      </c>
      <c r="Q194">
        <v>17.390999999999998</v>
      </c>
      <c r="R194">
        <v>17.390999999999998</v>
      </c>
      <c r="S194">
        <v>0</v>
      </c>
      <c r="T194">
        <v>0</v>
      </c>
      <c r="U194">
        <v>0</v>
      </c>
      <c r="V194">
        <f t="shared" si="6"/>
        <v>17.97475</v>
      </c>
      <c r="W194">
        <f t="shared" si="7"/>
        <v>14.46475</v>
      </c>
      <c r="X194">
        <f t="shared" si="8"/>
        <v>14.235249999999999</v>
      </c>
      <c r="Y194">
        <v>13</v>
      </c>
      <c r="Z194" s="2" t="s">
        <v>197</v>
      </c>
    </row>
    <row r="195" spans="1:26" x14ac:dyDescent="0.25">
      <c r="A195">
        <v>1363</v>
      </c>
      <c r="B195">
        <v>244</v>
      </c>
      <c r="C195" t="s">
        <v>22</v>
      </c>
      <c r="D195" t="s">
        <v>195</v>
      </c>
      <c r="E195" t="s">
        <v>27</v>
      </c>
      <c r="F195" t="s">
        <v>216</v>
      </c>
      <c r="G195" t="str">
        <f>VLOOKUP(F195,Hospitals!E:H,4,FALSE)</f>
        <v>29.6175 , 75.99962</v>
      </c>
      <c r="H195" s="1">
        <v>46046</v>
      </c>
      <c r="I195" s="1">
        <v>46046</v>
      </c>
      <c r="J195">
        <v>10.827999999999999</v>
      </c>
      <c r="K195">
        <v>10.651</v>
      </c>
      <c r="L195">
        <v>10.227</v>
      </c>
      <c r="M195">
        <v>5.8819999999999997</v>
      </c>
      <c r="N195">
        <v>4.3479999999999999</v>
      </c>
      <c r="O195">
        <v>4.3479999999999999</v>
      </c>
      <c r="P195">
        <v>5.8819999999999997</v>
      </c>
      <c r="Q195">
        <v>4.3479999999999999</v>
      </c>
      <c r="R195">
        <v>4.3479999999999999</v>
      </c>
      <c r="S195">
        <v>0</v>
      </c>
      <c r="T195">
        <v>0</v>
      </c>
      <c r="U195">
        <v>0</v>
      </c>
      <c r="V195">
        <f t="shared" ref="V195:V258" si="9">AVERAGE(J195,M195,P195,S195)</f>
        <v>5.6479999999999997</v>
      </c>
      <c r="W195">
        <f t="shared" ref="W195:W258" si="10">AVERAGE(K195,N195,Q195,T195)</f>
        <v>4.8367499999999994</v>
      </c>
      <c r="X195">
        <f t="shared" ref="X195:X258" si="11">AVERAGE(L195,O195,R195,U195)</f>
        <v>4.7307499999999996</v>
      </c>
      <c r="Y195">
        <v>13</v>
      </c>
      <c r="Z195" s="2" t="s">
        <v>197</v>
      </c>
    </row>
    <row r="196" spans="1:26" x14ac:dyDescent="0.25">
      <c r="A196">
        <v>1350</v>
      </c>
      <c r="B196">
        <v>245</v>
      </c>
      <c r="C196" t="s">
        <v>22</v>
      </c>
      <c r="D196" t="s">
        <v>195</v>
      </c>
      <c r="E196" t="s">
        <v>27</v>
      </c>
      <c r="F196" t="s">
        <v>217</v>
      </c>
      <c r="G196" t="str">
        <f>VLOOKUP(F196,Hospitals!E:H,4,FALSE)</f>
        <v>29.31246 , 76.33028</v>
      </c>
      <c r="H196" s="1">
        <v>46071</v>
      </c>
      <c r="I196" s="1">
        <v>46071</v>
      </c>
      <c r="J196">
        <v>14.65</v>
      </c>
      <c r="K196">
        <v>13.609</v>
      </c>
      <c r="L196">
        <v>13.068</v>
      </c>
      <c r="M196">
        <v>11.765000000000001</v>
      </c>
      <c r="N196">
        <v>8.6959999999999997</v>
      </c>
      <c r="O196">
        <v>8.6959999999999997</v>
      </c>
      <c r="P196">
        <v>11.765000000000001</v>
      </c>
      <c r="Q196">
        <v>8.6959999999999997</v>
      </c>
      <c r="R196">
        <v>8.6959999999999997</v>
      </c>
      <c r="S196">
        <v>0</v>
      </c>
      <c r="T196">
        <v>0</v>
      </c>
      <c r="U196">
        <v>0</v>
      </c>
      <c r="V196">
        <f t="shared" si="9"/>
        <v>9.5449999999999999</v>
      </c>
      <c r="W196">
        <f t="shared" si="10"/>
        <v>7.7502499999999994</v>
      </c>
      <c r="X196">
        <f t="shared" si="11"/>
        <v>7.6150000000000002</v>
      </c>
      <c r="Y196">
        <v>13</v>
      </c>
      <c r="Z196" s="2" t="s">
        <v>197</v>
      </c>
    </row>
    <row r="197" spans="1:26" x14ac:dyDescent="0.25">
      <c r="A197">
        <v>1355</v>
      </c>
      <c r="B197">
        <v>246</v>
      </c>
      <c r="C197" t="s">
        <v>22</v>
      </c>
      <c r="D197" t="s">
        <v>195</v>
      </c>
      <c r="E197" t="s">
        <v>27</v>
      </c>
      <c r="F197" t="s">
        <v>218</v>
      </c>
      <c r="G197" t="str">
        <f>VLOOKUP(F197,Hospitals!E:H,4,FALSE)</f>
        <v>29.31256 , 76.33037</v>
      </c>
      <c r="H197" s="1">
        <v>46079</v>
      </c>
      <c r="I197" s="1">
        <v>46079</v>
      </c>
      <c r="J197">
        <v>34.395000000000003</v>
      </c>
      <c r="K197">
        <v>31.952999999999999</v>
      </c>
      <c r="L197">
        <v>30.681999999999999</v>
      </c>
      <c r="M197">
        <v>23.529</v>
      </c>
      <c r="N197">
        <v>17.390999999999998</v>
      </c>
      <c r="O197">
        <v>17.390999999999998</v>
      </c>
      <c r="P197">
        <v>23.529</v>
      </c>
      <c r="Q197">
        <v>17.390999999999998</v>
      </c>
      <c r="R197">
        <v>17.390999999999998</v>
      </c>
      <c r="S197">
        <v>0</v>
      </c>
      <c r="T197">
        <v>0</v>
      </c>
      <c r="U197">
        <v>0</v>
      </c>
      <c r="V197">
        <f t="shared" si="9"/>
        <v>20.363250000000001</v>
      </c>
      <c r="W197">
        <f t="shared" si="10"/>
        <v>16.683749999999996</v>
      </c>
      <c r="X197">
        <f t="shared" si="11"/>
        <v>16.366</v>
      </c>
      <c r="Y197">
        <v>13</v>
      </c>
      <c r="Z197" s="2" t="s">
        <v>197</v>
      </c>
    </row>
    <row r="198" spans="1:26" x14ac:dyDescent="0.25">
      <c r="A198">
        <v>1389</v>
      </c>
      <c r="B198">
        <v>247</v>
      </c>
      <c r="C198" t="s">
        <v>22</v>
      </c>
      <c r="D198" t="s">
        <v>195</v>
      </c>
      <c r="E198" t="s">
        <v>27</v>
      </c>
      <c r="F198" t="s">
        <v>219</v>
      </c>
      <c r="G198" t="str">
        <f>VLOOKUP(F198,Hospitals!E:H,4,FALSE)</f>
        <v>30.34234 , 76.84739</v>
      </c>
      <c r="H198" s="1">
        <v>46080</v>
      </c>
      <c r="I198" s="1">
        <v>46080</v>
      </c>
      <c r="J198">
        <v>41.401000000000003</v>
      </c>
      <c r="K198">
        <v>38.462000000000003</v>
      </c>
      <c r="L198">
        <v>36.932000000000002</v>
      </c>
      <c r="M198">
        <v>23.529</v>
      </c>
      <c r="N198">
        <v>17.390999999999998</v>
      </c>
      <c r="O198">
        <v>17.390999999999998</v>
      </c>
      <c r="P198">
        <v>23.529</v>
      </c>
      <c r="Q198">
        <v>17.390999999999998</v>
      </c>
      <c r="R198">
        <v>17.390999999999998</v>
      </c>
      <c r="S198">
        <v>0</v>
      </c>
      <c r="T198">
        <v>0</v>
      </c>
      <c r="U198">
        <v>0</v>
      </c>
      <c r="V198">
        <f t="shared" si="9"/>
        <v>22.114750000000001</v>
      </c>
      <c r="W198">
        <f t="shared" si="10"/>
        <v>18.311</v>
      </c>
      <c r="X198">
        <f t="shared" si="11"/>
        <v>17.9285</v>
      </c>
      <c r="Y198">
        <v>13</v>
      </c>
      <c r="Z198" s="2" t="s">
        <v>197</v>
      </c>
    </row>
    <row r="199" spans="1:26" x14ac:dyDescent="0.25">
      <c r="A199">
        <v>1352</v>
      </c>
      <c r="B199">
        <v>248</v>
      </c>
      <c r="C199" t="s">
        <v>22</v>
      </c>
      <c r="D199" t="s">
        <v>195</v>
      </c>
      <c r="E199" t="s">
        <v>27</v>
      </c>
      <c r="F199" t="s">
        <v>220</v>
      </c>
      <c r="G199" t="str">
        <f>VLOOKUP(F199,Hospitals!E:H,4,FALSE)</f>
        <v>29.31255 , 76.3304</v>
      </c>
      <c r="H199" s="1">
        <v>46063</v>
      </c>
      <c r="I199" s="1">
        <v>46063</v>
      </c>
      <c r="J199">
        <v>24.204000000000001</v>
      </c>
      <c r="K199">
        <v>22.484999999999999</v>
      </c>
      <c r="L199">
        <v>21.591000000000001</v>
      </c>
      <c r="M199">
        <v>17.646999999999998</v>
      </c>
      <c r="N199">
        <v>13.042999999999999</v>
      </c>
      <c r="O199">
        <v>13.042999999999999</v>
      </c>
      <c r="P199">
        <v>17.646999999999998</v>
      </c>
      <c r="Q199">
        <v>13.042999999999999</v>
      </c>
      <c r="R199">
        <v>13.042999999999999</v>
      </c>
      <c r="S199">
        <v>0</v>
      </c>
      <c r="T199">
        <v>0</v>
      </c>
      <c r="U199">
        <v>0</v>
      </c>
      <c r="V199">
        <f t="shared" si="9"/>
        <v>14.874499999999999</v>
      </c>
      <c r="W199">
        <f t="shared" si="10"/>
        <v>12.142749999999999</v>
      </c>
      <c r="X199">
        <f t="shared" si="11"/>
        <v>11.91925</v>
      </c>
      <c r="Y199">
        <v>13</v>
      </c>
      <c r="Z199" s="2" t="s">
        <v>197</v>
      </c>
    </row>
    <row r="200" spans="1:26" x14ac:dyDescent="0.25">
      <c r="A200">
        <v>1391</v>
      </c>
      <c r="B200">
        <v>249</v>
      </c>
      <c r="C200" t="s">
        <v>22</v>
      </c>
      <c r="D200" t="s">
        <v>195</v>
      </c>
      <c r="E200" t="s">
        <v>27</v>
      </c>
      <c r="F200" t="s">
        <v>221</v>
      </c>
      <c r="G200" t="str">
        <f>VLOOKUP(F200,Hospitals!E:H,4,FALSE)</f>
        <v>29.34958 , 76.23788</v>
      </c>
      <c r="H200" s="1">
        <v>46083</v>
      </c>
      <c r="I200" s="1">
        <v>46083</v>
      </c>
      <c r="J200">
        <v>2.548</v>
      </c>
      <c r="K200">
        <v>2.367</v>
      </c>
      <c r="L200">
        <v>2.2730000000000001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f t="shared" si="9"/>
        <v>0.63700000000000001</v>
      </c>
      <c r="W200">
        <f t="shared" si="10"/>
        <v>0.59175</v>
      </c>
      <c r="X200">
        <f t="shared" si="11"/>
        <v>0.56825000000000003</v>
      </c>
      <c r="Y200">
        <v>13</v>
      </c>
      <c r="Z200" s="2" t="s">
        <v>197</v>
      </c>
    </row>
    <row r="201" spans="1:26" x14ac:dyDescent="0.25">
      <c r="A201">
        <v>784</v>
      </c>
      <c r="B201">
        <v>25</v>
      </c>
      <c r="C201" t="s">
        <v>22</v>
      </c>
      <c r="D201" t="s">
        <v>23</v>
      </c>
      <c r="E201" t="s">
        <v>30</v>
      </c>
      <c r="F201" t="s">
        <v>222</v>
      </c>
      <c r="G201" t="str">
        <f>VLOOKUP(F201,Hospitals!E:H,4,FALSE)</f>
        <v>30.37428 , 77.09602</v>
      </c>
      <c r="H201" s="1">
        <v>45452</v>
      </c>
      <c r="I201" s="1">
        <v>45452</v>
      </c>
      <c r="J201">
        <v>75.796000000000006</v>
      </c>
      <c r="K201">
        <v>73.963999999999999</v>
      </c>
      <c r="L201">
        <v>71.590999999999994</v>
      </c>
      <c r="M201">
        <v>94.117999999999995</v>
      </c>
      <c r="N201">
        <v>86.956999999999994</v>
      </c>
      <c r="O201">
        <v>86.956999999999994</v>
      </c>
      <c r="P201">
        <v>94.117999999999995</v>
      </c>
      <c r="Q201">
        <v>86.956999999999994</v>
      </c>
      <c r="R201">
        <v>86.956999999999994</v>
      </c>
      <c r="S201">
        <v>50</v>
      </c>
      <c r="T201">
        <v>33.332999999999998</v>
      </c>
      <c r="U201">
        <v>14.286</v>
      </c>
      <c r="V201">
        <f t="shared" si="9"/>
        <v>78.507999999999996</v>
      </c>
      <c r="W201">
        <f t="shared" si="10"/>
        <v>70.302750000000003</v>
      </c>
      <c r="X201">
        <f t="shared" si="11"/>
        <v>64.947749999999999</v>
      </c>
      <c r="Y201">
        <v>13</v>
      </c>
      <c r="Z201" s="2" t="s">
        <v>26</v>
      </c>
    </row>
    <row r="202" spans="1:26" x14ac:dyDescent="0.25">
      <c r="A202">
        <v>1356</v>
      </c>
      <c r="B202">
        <v>250</v>
      </c>
      <c r="C202" t="s">
        <v>22</v>
      </c>
      <c r="D202" t="s">
        <v>195</v>
      </c>
      <c r="E202" t="s">
        <v>27</v>
      </c>
      <c r="F202" t="s">
        <v>223</v>
      </c>
      <c r="G202" t="str">
        <f>VLOOKUP(F202,Hospitals!E:H,4,FALSE)</f>
        <v>29.31242 , 76.3303</v>
      </c>
      <c r="H202" s="1">
        <v>46070</v>
      </c>
      <c r="I202" s="1">
        <v>46070</v>
      </c>
      <c r="J202">
        <v>21.655999999999999</v>
      </c>
      <c r="K202">
        <v>20.117999999999999</v>
      </c>
      <c r="L202">
        <v>19.318000000000001</v>
      </c>
      <c r="M202">
        <v>23.529</v>
      </c>
      <c r="N202">
        <v>17.390999999999998</v>
      </c>
      <c r="O202">
        <v>17.390999999999998</v>
      </c>
      <c r="P202">
        <v>23.529</v>
      </c>
      <c r="Q202">
        <v>17.390999999999998</v>
      </c>
      <c r="R202">
        <v>17.390999999999998</v>
      </c>
      <c r="S202">
        <v>0</v>
      </c>
      <c r="T202">
        <v>0</v>
      </c>
      <c r="U202">
        <v>0</v>
      </c>
      <c r="V202">
        <f t="shared" si="9"/>
        <v>17.1785</v>
      </c>
      <c r="W202">
        <f t="shared" si="10"/>
        <v>13.725</v>
      </c>
      <c r="X202">
        <f t="shared" si="11"/>
        <v>13.525</v>
      </c>
      <c r="Y202">
        <v>13</v>
      </c>
      <c r="Z202" s="2" t="s">
        <v>197</v>
      </c>
    </row>
    <row r="203" spans="1:26" x14ac:dyDescent="0.25">
      <c r="A203">
        <v>1347</v>
      </c>
      <c r="B203">
        <v>251</v>
      </c>
      <c r="C203" t="s">
        <v>22</v>
      </c>
      <c r="D203" t="s">
        <v>195</v>
      </c>
      <c r="E203" t="s">
        <v>27</v>
      </c>
      <c r="F203" t="s">
        <v>224</v>
      </c>
      <c r="G203" t="str">
        <f>VLOOKUP(F203,Hospitals!E:H,4,FALSE)</f>
        <v>29.48987 , 76.35371</v>
      </c>
      <c r="H203" s="1">
        <v>46044</v>
      </c>
      <c r="I203" s="1">
        <v>46044</v>
      </c>
      <c r="J203">
        <v>23.567</v>
      </c>
      <c r="K203">
        <v>21.893000000000001</v>
      </c>
      <c r="L203">
        <v>21.023</v>
      </c>
      <c r="M203">
        <v>17.646999999999998</v>
      </c>
      <c r="N203">
        <v>13.042999999999999</v>
      </c>
      <c r="O203">
        <v>13.042999999999999</v>
      </c>
      <c r="P203">
        <v>17.646999999999998</v>
      </c>
      <c r="Q203">
        <v>13.042999999999999</v>
      </c>
      <c r="R203">
        <v>13.042999999999999</v>
      </c>
      <c r="S203">
        <v>0</v>
      </c>
      <c r="T203">
        <v>0</v>
      </c>
      <c r="U203">
        <v>0</v>
      </c>
      <c r="V203">
        <f t="shared" si="9"/>
        <v>14.715249999999999</v>
      </c>
      <c r="W203">
        <f t="shared" si="10"/>
        <v>11.99475</v>
      </c>
      <c r="X203">
        <f t="shared" si="11"/>
        <v>11.77725</v>
      </c>
      <c r="Y203">
        <v>13</v>
      </c>
      <c r="Z203" s="2" t="s">
        <v>197</v>
      </c>
    </row>
    <row r="204" spans="1:26" x14ac:dyDescent="0.25">
      <c r="A204">
        <v>1394</v>
      </c>
      <c r="B204">
        <v>252</v>
      </c>
      <c r="C204" t="s">
        <v>22</v>
      </c>
      <c r="D204" t="s">
        <v>195</v>
      </c>
      <c r="E204" t="s">
        <v>27</v>
      </c>
      <c r="F204" t="s">
        <v>225</v>
      </c>
      <c r="G204" t="str">
        <f>VLOOKUP(F204,Hospitals!E:H,4,FALSE)</f>
        <v>29.43312 , 76.56739</v>
      </c>
      <c r="H204" s="1">
        <v>46084</v>
      </c>
      <c r="I204" s="1">
        <v>46084</v>
      </c>
      <c r="J204">
        <v>28.024999999999999</v>
      </c>
      <c r="K204">
        <v>26.036000000000001</v>
      </c>
      <c r="L204">
        <v>25</v>
      </c>
      <c r="M204">
        <v>17.646999999999998</v>
      </c>
      <c r="N204">
        <v>13.042999999999999</v>
      </c>
      <c r="O204">
        <v>13.042999999999999</v>
      </c>
      <c r="P204">
        <v>17.646999999999998</v>
      </c>
      <c r="Q204">
        <v>13.042999999999999</v>
      </c>
      <c r="R204">
        <v>13.042999999999999</v>
      </c>
      <c r="S204">
        <v>10</v>
      </c>
      <c r="T204">
        <v>0</v>
      </c>
      <c r="U204">
        <v>0</v>
      </c>
      <c r="V204">
        <f t="shared" si="9"/>
        <v>18.329749999999997</v>
      </c>
      <c r="W204">
        <f t="shared" si="10"/>
        <v>13.0305</v>
      </c>
      <c r="X204">
        <f t="shared" si="11"/>
        <v>12.7715</v>
      </c>
      <c r="Y204">
        <v>13</v>
      </c>
      <c r="Z204" s="2" t="s">
        <v>197</v>
      </c>
    </row>
    <row r="205" spans="1:26" x14ac:dyDescent="0.25">
      <c r="A205">
        <v>1359</v>
      </c>
      <c r="B205">
        <v>253</v>
      </c>
      <c r="C205" t="s">
        <v>22</v>
      </c>
      <c r="D205" t="s">
        <v>195</v>
      </c>
      <c r="E205" t="s">
        <v>27</v>
      </c>
      <c r="F205" t="s">
        <v>226</v>
      </c>
      <c r="G205" t="str">
        <f>VLOOKUP(F205,Hospitals!E:H,4,FALSE)</f>
        <v>29.3124 , 76.33029</v>
      </c>
      <c r="H205" s="1">
        <v>46070</v>
      </c>
      <c r="I205" s="1">
        <v>46070</v>
      </c>
      <c r="J205">
        <v>22.292999999999999</v>
      </c>
      <c r="K205">
        <v>20.71</v>
      </c>
      <c r="L205">
        <v>19.885999999999999</v>
      </c>
      <c r="M205">
        <v>11.765000000000001</v>
      </c>
      <c r="N205">
        <v>8.6959999999999997</v>
      </c>
      <c r="O205">
        <v>8.6959999999999997</v>
      </c>
      <c r="P205">
        <v>11.765000000000001</v>
      </c>
      <c r="Q205">
        <v>8.6959999999999997</v>
      </c>
      <c r="R205">
        <v>8.6959999999999997</v>
      </c>
      <c r="S205">
        <v>0</v>
      </c>
      <c r="T205">
        <v>0</v>
      </c>
      <c r="U205">
        <v>0</v>
      </c>
      <c r="V205">
        <f t="shared" si="9"/>
        <v>11.45575</v>
      </c>
      <c r="W205">
        <f t="shared" si="10"/>
        <v>9.5254999999999992</v>
      </c>
      <c r="X205">
        <f t="shared" si="11"/>
        <v>9.3194999999999997</v>
      </c>
      <c r="Y205">
        <v>13</v>
      </c>
      <c r="Z205" s="2" t="s">
        <v>197</v>
      </c>
    </row>
    <row r="206" spans="1:26" x14ac:dyDescent="0.25">
      <c r="A206">
        <v>1392</v>
      </c>
      <c r="B206">
        <v>254</v>
      </c>
      <c r="C206" t="s">
        <v>22</v>
      </c>
      <c r="D206" t="s">
        <v>195</v>
      </c>
      <c r="E206" t="s">
        <v>27</v>
      </c>
      <c r="F206" t="s">
        <v>227</v>
      </c>
      <c r="G206" t="str">
        <f>VLOOKUP(F206,Hospitals!E:H,4,FALSE)</f>
        <v>29.31251 , 76.33036</v>
      </c>
      <c r="H206" s="1">
        <v>46090</v>
      </c>
      <c r="I206" s="1">
        <v>46090</v>
      </c>
      <c r="J206">
        <v>50.317999999999998</v>
      </c>
      <c r="K206">
        <v>47.929000000000002</v>
      </c>
      <c r="L206">
        <v>46.023000000000003</v>
      </c>
      <c r="M206">
        <v>58.823999999999998</v>
      </c>
      <c r="N206">
        <v>43.478000000000002</v>
      </c>
      <c r="O206">
        <v>43.478000000000002</v>
      </c>
      <c r="P206">
        <v>58.823999999999998</v>
      </c>
      <c r="Q206">
        <v>43.478000000000002</v>
      </c>
      <c r="R206">
        <v>43.478000000000002</v>
      </c>
      <c r="S206">
        <v>0</v>
      </c>
      <c r="T206">
        <v>0</v>
      </c>
      <c r="U206">
        <v>0</v>
      </c>
      <c r="V206">
        <f t="shared" si="9"/>
        <v>41.991500000000002</v>
      </c>
      <c r="W206">
        <f t="shared" si="10"/>
        <v>33.721250000000005</v>
      </c>
      <c r="X206">
        <f t="shared" si="11"/>
        <v>33.244750000000003</v>
      </c>
      <c r="Y206">
        <v>13</v>
      </c>
      <c r="Z206" s="2" t="s">
        <v>197</v>
      </c>
    </row>
    <row r="207" spans="1:26" x14ac:dyDescent="0.25">
      <c r="A207">
        <v>1330</v>
      </c>
      <c r="B207">
        <v>255</v>
      </c>
      <c r="C207" t="s">
        <v>22</v>
      </c>
      <c r="D207" t="s">
        <v>195</v>
      </c>
      <c r="E207" t="s">
        <v>30</v>
      </c>
      <c r="F207" t="s">
        <v>228</v>
      </c>
      <c r="G207" t="str">
        <f>VLOOKUP(F207,Hospitals!E:H,4,FALSE)</f>
        <v>29.31197 , 76.32845</v>
      </c>
      <c r="H207" s="1">
        <v>46035</v>
      </c>
      <c r="I207" s="1">
        <v>46046</v>
      </c>
      <c r="J207">
        <v>68.153000000000006</v>
      </c>
      <c r="K207">
        <v>65.680000000000007</v>
      </c>
      <c r="L207">
        <v>63.067999999999998</v>
      </c>
      <c r="M207">
        <v>52.941000000000003</v>
      </c>
      <c r="N207">
        <v>47.826000000000001</v>
      </c>
      <c r="O207">
        <v>47.826000000000001</v>
      </c>
      <c r="P207">
        <v>52.941000000000003</v>
      </c>
      <c r="Q207">
        <v>47.826000000000001</v>
      </c>
      <c r="R207">
        <v>47.826000000000001</v>
      </c>
      <c r="S207">
        <v>10</v>
      </c>
      <c r="T207">
        <v>0</v>
      </c>
      <c r="U207">
        <v>0</v>
      </c>
      <c r="V207">
        <f t="shared" si="9"/>
        <v>46.008750000000006</v>
      </c>
      <c r="W207">
        <f t="shared" si="10"/>
        <v>40.332999999999998</v>
      </c>
      <c r="X207">
        <f t="shared" si="11"/>
        <v>39.68</v>
      </c>
      <c r="Y207">
        <v>13</v>
      </c>
      <c r="Z207" s="2" t="s">
        <v>197</v>
      </c>
    </row>
    <row r="208" spans="1:26" x14ac:dyDescent="0.25">
      <c r="A208">
        <v>1326</v>
      </c>
      <c r="B208">
        <v>255</v>
      </c>
      <c r="C208" t="s">
        <v>22</v>
      </c>
      <c r="D208" t="s">
        <v>195</v>
      </c>
      <c r="E208" t="s">
        <v>30</v>
      </c>
      <c r="F208" t="s">
        <v>228</v>
      </c>
      <c r="G208" t="str">
        <f>VLOOKUP(F208,Hospitals!E:H,4,FALSE)</f>
        <v>29.31197 , 76.32845</v>
      </c>
      <c r="H208" s="1">
        <v>46035</v>
      </c>
      <c r="I208" s="1">
        <v>46035</v>
      </c>
      <c r="J208">
        <v>68.153000000000006</v>
      </c>
      <c r="K208">
        <v>65.680000000000007</v>
      </c>
      <c r="L208">
        <v>63.067999999999998</v>
      </c>
      <c r="M208">
        <v>52.941000000000003</v>
      </c>
      <c r="N208">
        <v>47.826000000000001</v>
      </c>
      <c r="O208">
        <v>47.826000000000001</v>
      </c>
      <c r="P208">
        <v>52.941000000000003</v>
      </c>
      <c r="Q208">
        <v>47.826000000000001</v>
      </c>
      <c r="R208">
        <v>47.826000000000001</v>
      </c>
      <c r="S208">
        <v>10</v>
      </c>
      <c r="T208">
        <v>0</v>
      </c>
      <c r="U208">
        <v>0</v>
      </c>
      <c r="V208">
        <f t="shared" si="9"/>
        <v>46.008750000000006</v>
      </c>
      <c r="W208">
        <f t="shared" si="10"/>
        <v>40.332999999999998</v>
      </c>
      <c r="X208">
        <f t="shared" si="11"/>
        <v>39.68</v>
      </c>
      <c r="Y208">
        <v>13</v>
      </c>
      <c r="Z208" s="2" t="s">
        <v>197</v>
      </c>
    </row>
    <row r="209" spans="1:26" x14ac:dyDescent="0.25">
      <c r="A209">
        <v>1360</v>
      </c>
      <c r="B209">
        <v>256</v>
      </c>
      <c r="C209" t="s">
        <v>22</v>
      </c>
      <c r="D209" t="s">
        <v>195</v>
      </c>
      <c r="E209" t="s">
        <v>77</v>
      </c>
      <c r="F209" t="s">
        <v>229</v>
      </c>
      <c r="G209" t="str">
        <f>VLOOKUP(F209,Hospitals!E:H,4,FALSE)</f>
        <v>29.47735 , 76.18784</v>
      </c>
      <c r="H209" s="1">
        <v>46044</v>
      </c>
      <c r="I209" s="1">
        <v>46044</v>
      </c>
      <c r="J209">
        <v>57.962000000000003</v>
      </c>
      <c r="K209">
        <v>54.438000000000002</v>
      </c>
      <c r="L209">
        <v>52.273000000000003</v>
      </c>
      <c r="M209">
        <v>70.587999999999994</v>
      </c>
      <c r="N209">
        <v>52.173999999999999</v>
      </c>
      <c r="O209">
        <v>52.173999999999999</v>
      </c>
      <c r="P209">
        <v>70.587999999999994</v>
      </c>
      <c r="Q209">
        <v>52.173999999999999</v>
      </c>
      <c r="R209">
        <v>52.173999999999999</v>
      </c>
      <c r="S209">
        <v>20</v>
      </c>
      <c r="T209">
        <v>8.3330000000000002</v>
      </c>
      <c r="U209">
        <v>7.1429999999999998</v>
      </c>
      <c r="V209">
        <f t="shared" si="9"/>
        <v>54.784500000000001</v>
      </c>
      <c r="W209">
        <f t="shared" si="10"/>
        <v>41.77975</v>
      </c>
      <c r="X209">
        <f t="shared" si="11"/>
        <v>40.941000000000003</v>
      </c>
      <c r="Y209">
        <v>13</v>
      </c>
      <c r="Z209" s="2" t="s">
        <v>197</v>
      </c>
    </row>
    <row r="210" spans="1:26" x14ac:dyDescent="0.25">
      <c r="A210">
        <v>616</v>
      </c>
      <c r="B210">
        <v>257</v>
      </c>
      <c r="C210" t="s">
        <v>22</v>
      </c>
      <c r="D210" t="s">
        <v>195</v>
      </c>
      <c r="E210" t="s">
        <v>30</v>
      </c>
      <c r="F210" t="s">
        <v>230</v>
      </c>
      <c r="G210" t="e">
        <f>VLOOKUP(F210,Hospitals!E:H,4,FALSE)</f>
        <v>#N/A</v>
      </c>
      <c r="H210" s="1">
        <v>45404</v>
      </c>
      <c r="I210" s="1">
        <v>45404</v>
      </c>
      <c r="J210">
        <v>76.433000000000007</v>
      </c>
      <c r="K210">
        <v>73.963999999999999</v>
      </c>
      <c r="L210">
        <v>71.022999999999996</v>
      </c>
      <c r="M210">
        <v>29.411999999999999</v>
      </c>
      <c r="N210">
        <v>34.783000000000001</v>
      </c>
      <c r="O210">
        <v>34.783000000000001</v>
      </c>
      <c r="P210">
        <v>29.411999999999999</v>
      </c>
      <c r="Q210">
        <v>34.783000000000001</v>
      </c>
      <c r="R210">
        <v>34.783000000000001</v>
      </c>
      <c r="S210">
        <v>0</v>
      </c>
      <c r="T210">
        <v>0</v>
      </c>
      <c r="U210">
        <v>0</v>
      </c>
      <c r="V210">
        <f t="shared" si="9"/>
        <v>33.814250000000001</v>
      </c>
      <c r="W210">
        <f t="shared" si="10"/>
        <v>35.8825</v>
      </c>
      <c r="X210">
        <f t="shared" si="11"/>
        <v>35.14725</v>
      </c>
      <c r="Y210">
        <v>13</v>
      </c>
      <c r="Z210" s="2" t="s">
        <v>197</v>
      </c>
    </row>
    <row r="211" spans="1:26" x14ac:dyDescent="0.25">
      <c r="A211">
        <v>1370</v>
      </c>
      <c r="B211">
        <v>258</v>
      </c>
      <c r="C211" t="s">
        <v>22</v>
      </c>
      <c r="D211" t="s">
        <v>195</v>
      </c>
      <c r="E211" t="s">
        <v>30</v>
      </c>
      <c r="F211" t="s">
        <v>231</v>
      </c>
      <c r="G211" t="str">
        <f>VLOOKUP(F211,Hospitals!E:H,4,FALSE)</f>
        <v>29.59313 , 76.12739</v>
      </c>
      <c r="H211" s="1">
        <v>46053</v>
      </c>
      <c r="I211" s="1">
        <v>46053</v>
      </c>
      <c r="J211">
        <v>41.401000000000003</v>
      </c>
      <c r="K211">
        <v>39.645000000000003</v>
      </c>
      <c r="L211">
        <v>38.636000000000003</v>
      </c>
      <c r="M211">
        <v>17.646999999999998</v>
      </c>
      <c r="N211">
        <v>21.739000000000001</v>
      </c>
      <c r="O211">
        <v>21.739000000000001</v>
      </c>
      <c r="P211">
        <v>17.646999999999998</v>
      </c>
      <c r="Q211">
        <v>21.739000000000001</v>
      </c>
      <c r="R211">
        <v>21.739000000000001</v>
      </c>
      <c r="S211">
        <v>0</v>
      </c>
      <c r="T211">
        <v>0</v>
      </c>
      <c r="U211">
        <v>0</v>
      </c>
      <c r="V211">
        <f t="shared" si="9"/>
        <v>19.173749999999998</v>
      </c>
      <c r="W211">
        <f t="shared" si="10"/>
        <v>20.780750000000001</v>
      </c>
      <c r="X211">
        <f t="shared" si="11"/>
        <v>20.528500000000001</v>
      </c>
      <c r="Y211">
        <v>13</v>
      </c>
      <c r="Z211" s="2" t="s">
        <v>197</v>
      </c>
    </row>
    <row r="212" spans="1:26" x14ac:dyDescent="0.25">
      <c r="A212">
        <v>1340</v>
      </c>
      <c r="B212">
        <v>259</v>
      </c>
      <c r="C212" t="s">
        <v>22</v>
      </c>
      <c r="D212" t="s">
        <v>195</v>
      </c>
      <c r="E212" t="s">
        <v>30</v>
      </c>
      <c r="F212" t="s">
        <v>232</v>
      </c>
      <c r="G212" t="str">
        <f>VLOOKUP(F212,Hospitals!E:H,4,FALSE)</f>
        <v>29.58763 , 76.11233</v>
      </c>
      <c r="H212" s="1">
        <v>46043</v>
      </c>
      <c r="I212" s="1">
        <v>46043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f t="shared" si="9"/>
        <v>0</v>
      </c>
      <c r="W212">
        <f t="shared" si="10"/>
        <v>0</v>
      </c>
      <c r="X212">
        <f t="shared" si="11"/>
        <v>0</v>
      </c>
      <c r="Y212">
        <v>13</v>
      </c>
      <c r="Z212" s="2" t="s">
        <v>197</v>
      </c>
    </row>
    <row r="213" spans="1:26" x14ac:dyDescent="0.25">
      <c r="A213">
        <v>1329</v>
      </c>
      <c r="B213">
        <v>260</v>
      </c>
      <c r="C213" t="s">
        <v>22</v>
      </c>
      <c r="D213" t="s">
        <v>195</v>
      </c>
      <c r="E213" t="s">
        <v>30</v>
      </c>
      <c r="F213" t="s">
        <v>233</v>
      </c>
      <c r="G213" t="str">
        <f>VLOOKUP(F213,Hospitals!E:H,4,FALSE)</f>
        <v>29.58667 , 76.11804</v>
      </c>
      <c r="H213" s="1">
        <v>46050</v>
      </c>
      <c r="I213" s="1">
        <v>46050</v>
      </c>
      <c r="J213">
        <v>75.796000000000006</v>
      </c>
      <c r="K213">
        <v>71.597999999999999</v>
      </c>
      <c r="L213">
        <v>69.885999999999996</v>
      </c>
      <c r="M213">
        <v>41.176000000000002</v>
      </c>
      <c r="N213">
        <v>43.478000000000002</v>
      </c>
      <c r="O213">
        <v>43.478000000000002</v>
      </c>
      <c r="P213">
        <v>41.176000000000002</v>
      </c>
      <c r="Q213">
        <v>43.478000000000002</v>
      </c>
      <c r="R213">
        <v>43.478000000000002</v>
      </c>
      <c r="S213">
        <v>10</v>
      </c>
      <c r="T213">
        <v>8.3330000000000002</v>
      </c>
      <c r="U213">
        <v>0</v>
      </c>
      <c r="V213">
        <f t="shared" si="9"/>
        <v>42.037000000000006</v>
      </c>
      <c r="W213">
        <f t="shared" si="10"/>
        <v>41.72175</v>
      </c>
      <c r="X213">
        <f t="shared" si="11"/>
        <v>39.210500000000003</v>
      </c>
      <c r="Y213">
        <v>13</v>
      </c>
      <c r="Z213" s="2" t="s">
        <v>197</v>
      </c>
    </row>
    <row r="214" spans="1:26" x14ac:dyDescent="0.25">
      <c r="A214">
        <v>1343</v>
      </c>
      <c r="B214">
        <v>261</v>
      </c>
      <c r="C214" t="s">
        <v>22</v>
      </c>
      <c r="D214" t="s">
        <v>195</v>
      </c>
      <c r="E214" t="s">
        <v>30</v>
      </c>
      <c r="F214" t="s">
        <v>234</v>
      </c>
      <c r="G214" t="str">
        <f>VLOOKUP(F214,Hospitals!E:H,4,FALSE)</f>
        <v>29.59815 , 76.11894</v>
      </c>
      <c r="H214" s="1">
        <v>46046</v>
      </c>
      <c r="I214" s="1">
        <v>46046</v>
      </c>
      <c r="J214">
        <v>33.121000000000002</v>
      </c>
      <c r="K214">
        <v>30.768999999999998</v>
      </c>
      <c r="L214">
        <v>29.545000000000002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f t="shared" si="9"/>
        <v>8.2802500000000006</v>
      </c>
      <c r="W214">
        <f t="shared" si="10"/>
        <v>7.6922499999999996</v>
      </c>
      <c r="X214">
        <f t="shared" si="11"/>
        <v>7.3862500000000004</v>
      </c>
      <c r="Y214">
        <v>13</v>
      </c>
      <c r="Z214" s="2" t="s">
        <v>197</v>
      </c>
    </row>
    <row r="215" spans="1:26" x14ac:dyDescent="0.25">
      <c r="A215">
        <v>1328</v>
      </c>
      <c r="B215">
        <v>262</v>
      </c>
      <c r="C215" t="s">
        <v>22</v>
      </c>
      <c r="D215" t="s">
        <v>195</v>
      </c>
      <c r="E215" t="s">
        <v>30</v>
      </c>
      <c r="F215" t="s">
        <v>235</v>
      </c>
      <c r="G215" t="str">
        <f>VLOOKUP(F215,Hospitals!E:H,4,FALSE)</f>
        <v>29.9721 , 76.8976</v>
      </c>
      <c r="H215" s="1">
        <v>46050</v>
      </c>
      <c r="I215" s="1">
        <v>46050</v>
      </c>
      <c r="J215">
        <v>26.751999999999999</v>
      </c>
      <c r="K215">
        <v>24.852</v>
      </c>
      <c r="L215">
        <v>23.864000000000001</v>
      </c>
      <c r="M215">
        <v>11.765000000000001</v>
      </c>
      <c r="N215">
        <v>8.6959999999999997</v>
      </c>
      <c r="O215">
        <v>8.6959999999999997</v>
      </c>
      <c r="P215">
        <v>11.765000000000001</v>
      </c>
      <c r="Q215">
        <v>8.6959999999999997</v>
      </c>
      <c r="R215">
        <v>8.6959999999999997</v>
      </c>
      <c r="S215">
        <v>0</v>
      </c>
      <c r="T215">
        <v>0</v>
      </c>
      <c r="U215">
        <v>0</v>
      </c>
      <c r="V215">
        <f t="shared" si="9"/>
        <v>12.570499999999999</v>
      </c>
      <c r="W215">
        <f t="shared" si="10"/>
        <v>10.561</v>
      </c>
      <c r="X215">
        <f t="shared" si="11"/>
        <v>10.314</v>
      </c>
      <c r="Y215">
        <v>13</v>
      </c>
      <c r="Z215" s="2" t="s">
        <v>197</v>
      </c>
    </row>
    <row r="216" spans="1:26" x14ac:dyDescent="0.25">
      <c r="A216">
        <v>1327</v>
      </c>
      <c r="B216">
        <v>263</v>
      </c>
      <c r="C216" t="s">
        <v>22</v>
      </c>
      <c r="D216" t="s">
        <v>195</v>
      </c>
      <c r="E216" t="s">
        <v>30</v>
      </c>
      <c r="F216" t="s">
        <v>236</v>
      </c>
      <c r="G216" t="str">
        <f>VLOOKUP(F216,Hospitals!E:H,4,FALSE)</f>
        <v>29.59233 , 76.128</v>
      </c>
      <c r="H216" s="1">
        <v>46043</v>
      </c>
      <c r="I216" s="1">
        <v>46043</v>
      </c>
      <c r="J216">
        <v>17.834</v>
      </c>
      <c r="K216">
        <v>16.568000000000001</v>
      </c>
      <c r="L216">
        <v>16.477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f t="shared" si="9"/>
        <v>4.4584999999999999</v>
      </c>
      <c r="W216">
        <f t="shared" si="10"/>
        <v>4.1420000000000003</v>
      </c>
      <c r="X216">
        <f t="shared" si="11"/>
        <v>4.1192500000000001</v>
      </c>
      <c r="Y216">
        <v>13</v>
      </c>
      <c r="Z216" s="2" t="s">
        <v>197</v>
      </c>
    </row>
    <row r="217" spans="1:26" x14ac:dyDescent="0.25">
      <c r="A217">
        <v>1345</v>
      </c>
      <c r="B217">
        <v>264</v>
      </c>
      <c r="C217" t="s">
        <v>22</v>
      </c>
      <c r="D217" t="s">
        <v>195</v>
      </c>
      <c r="E217" t="s">
        <v>30</v>
      </c>
      <c r="F217" t="s">
        <v>237</v>
      </c>
      <c r="G217" t="str">
        <f>VLOOKUP(F217,Hospitals!E:H,4,FALSE)</f>
        <v>30.4623 , 77.123</v>
      </c>
      <c r="H217" s="1">
        <v>46046</v>
      </c>
      <c r="I217" s="1">
        <v>46046</v>
      </c>
      <c r="J217">
        <v>77.706999999999994</v>
      </c>
      <c r="K217">
        <v>74.555999999999997</v>
      </c>
      <c r="L217">
        <v>72.159000000000006</v>
      </c>
      <c r="M217">
        <v>41.176000000000002</v>
      </c>
      <c r="N217">
        <v>43.478000000000002</v>
      </c>
      <c r="O217">
        <v>43.478000000000002</v>
      </c>
      <c r="P217">
        <v>41.176000000000002</v>
      </c>
      <c r="Q217">
        <v>43.478000000000002</v>
      </c>
      <c r="R217">
        <v>43.478000000000002</v>
      </c>
      <c r="S217">
        <v>0</v>
      </c>
      <c r="T217">
        <v>0</v>
      </c>
      <c r="U217">
        <v>0</v>
      </c>
      <c r="V217">
        <f t="shared" si="9"/>
        <v>40.014749999999999</v>
      </c>
      <c r="W217">
        <f t="shared" si="10"/>
        <v>40.378</v>
      </c>
      <c r="X217">
        <f t="shared" si="11"/>
        <v>39.778750000000002</v>
      </c>
      <c r="Y217">
        <v>13</v>
      </c>
      <c r="Z217" s="2" t="s">
        <v>197</v>
      </c>
    </row>
    <row r="218" spans="1:26" x14ac:dyDescent="0.25">
      <c r="A218">
        <v>1365</v>
      </c>
      <c r="B218">
        <v>265</v>
      </c>
      <c r="C218" t="s">
        <v>22</v>
      </c>
      <c r="D218" t="s">
        <v>195</v>
      </c>
      <c r="E218" t="s">
        <v>30</v>
      </c>
      <c r="F218" t="s">
        <v>238</v>
      </c>
      <c r="G218" t="str">
        <f>VLOOKUP(F218,Hospitals!E:H,4,FALSE)</f>
        <v>29.5871 , 76.1173</v>
      </c>
      <c r="H218" s="1">
        <v>46050</v>
      </c>
      <c r="I218" s="1">
        <v>46050</v>
      </c>
      <c r="J218">
        <v>87.897999999999996</v>
      </c>
      <c r="K218">
        <v>85.799000000000007</v>
      </c>
      <c r="L218">
        <v>83.522999999999996</v>
      </c>
      <c r="M218">
        <v>41.176000000000002</v>
      </c>
      <c r="N218">
        <v>43.478000000000002</v>
      </c>
      <c r="O218">
        <v>43.478000000000002</v>
      </c>
      <c r="P218">
        <v>41.176000000000002</v>
      </c>
      <c r="Q218">
        <v>43.478000000000002</v>
      </c>
      <c r="R218">
        <v>43.478000000000002</v>
      </c>
      <c r="S218">
        <v>20</v>
      </c>
      <c r="T218">
        <v>8.3330000000000002</v>
      </c>
      <c r="U218">
        <v>0</v>
      </c>
      <c r="V218">
        <f t="shared" si="9"/>
        <v>47.5625</v>
      </c>
      <c r="W218">
        <f t="shared" si="10"/>
        <v>45.272000000000006</v>
      </c>
      <c r="X218">
        <f t="shared" si="11"/>
        <v>42.619750000000003</v>
      </c>
      <c r="Y218">
        <v>13</v>
      </c>
      <c r="Z218" s="2" t="s">
        <v>197</v>
      </c>
    </row>
    <row r="219" spans="1:26" x14ac:dyDescent="0.25">
      <c r="A219">
        <v>1373</v>
      </c>
      <c r="B219">
        <v>265</v>
      </c>
      <c r="C219" t="s">
        <v>22</v>
      </c>
      <c r="D219" t="s">
        <v>195</v>
      </c>
      <c r="E219" t="s">
        <v>30</v>
      </c>
      <c r="F219" t="s">
        <v>238</v>
      </c>
      <c r="G219" t="str">
        <f>VLOOKUP(F219,Hospitals!E:H,4,FALSE)</f>
        <v>29.5871 , 76.1173</v>
      </c>
      <c r="H219" s="1">
        <v>46050</v>
      </c>
      <c r="I219" s="1">
        <v>46050</v>
      </c>
      <c r="J219">
        <v>87.897999999999996</v>
      </c>
      <c r="K219">
        <v>85.799000000000007</v>
      </c>
      <c r="L219">
        <v>83.522999999999996</v>
      </c>
      <c r="M219">
        <v>41.176000000000002</v>
      </c>
      <c r="N219">
        <v>43.478000000000002</v>
      </c>
      <c r="O219">
        <v>43.478000000000002</v>
      </c>
      <c r="P219">
        <v>41.176000000000002</v>
      </c>
      <c r="Q219">
        <v>43.478000000000002</v>
      </c>
      <c r="R219">
        <v>43.478000000000002</v>
      </c>
      <c r="S219">
        <v>20</v>
      </c>
      <c r="T219">
        <v>8.3330000000000002</v>
      </c>
      <c r="U219">
        <v>0</v>
      </c>
      <c r="V219">
        <f t="shared" si="9"/>
        <v>47.5625</v>
      </c>
      <c r="W219">
        <f t="shared" si="10"/>
        <v>45.272000000000006</v>
      </c>
      <c r="X219">
        <f t="shared" si="11"/>
        <v>42.619750000000003</v>
      </c>
      <c r="Y219">
        <v>13</v>
      </c>
      <c r="Z219" s="2" t="s">
        <v>197</v>
      </c>
    </row>
    <row r="220" spans="1:26" x14ac:dyDescent="0.25">
      <c r="A220">
        <v>521</v>
      </c>
      <c r="B220">
        <v>267</v>
      </c>
      <c r="C220" t="s">
        <v>22</v>
      </c>
      <c r="D220" t="s">
        <v>239</v>
      </c>
      <c r="E220" t="s">
        <v>24</v>
      </c>
      <c r="F220" t="s">
        <v>240</v>
      </c>
      <c r="G220" t="str">
        <f>VLOOKUP(F220,Hospitals!E:H,4,FALSE)</f>
        <v>29.57631 , 76.48258</v>
      </c>
      <c r="H220" s="1">
        <v>45384</v>
      </c>
      <c r="I220" s="1">
        <v>45384</v>
      </c>
      <c r="J220">
        <v>55.414000000000001</v>
      </c>
      <c r="K220">
        <v>52.070999999999998</v>
      </c>
      <c r="L220">
        <v>50</v>
      </c>
      <c r="M220">
        <v>29.411999999999999</v>
      </c>
      <c r="N220">
        <v>21.739000000000001</v>
      </c>
      <c r="O220">
        <v>21.739000000000001</v>
      </c>
      <c r="P220">
        <v>29.411999999999999</v>
      </c>
      <c r="Q220">
        <v>21.739000000000001</v>
      </c>
      <c r="R220">
        <v>21.739000000000001</v>
      </c>
      <c r="S220">
        <v>0</v>
      </c>
      <c r="T220">
        <v>8.3330000000000002</v>
      </c>
      <c r="U220">
        <v>7.1429999999999998</v>
      </c>
      <c r="V220">
        <f t="shared" si="9"/>
        <v>28.5595</v>
      </c>
      <c r="W220">
        <f t="shared" si="10"/>
        <v>25.970500000000001</v>
      </c>
      <c r="X220">
        <f t="shared" si="11"/>
        <v>25.155250000000002</v>
      </c>
      <c r="Y220">
        <v>13</v>
      </c>
      <c r="Z220" s="2" t="s">
        <v>241</v>
      </c>
    </row>
    <row r="221" spans="1:26" x14ac:dyDescent="0.25">
      <c r="A221">
        <v>520</v>
      </c>
      <c r="B221">
        <v>268</v>
      </c>
      <c r="C221" t="s">
        <v>22</v>
      </c>
      <c r="D221" t="s">
        <v>239</v>
      </c>
      <c r="E221" t="s">
        <v>24</v>
      </c>
      <c r="F221" t="s">
        <v>242</v>
      </c>
      <c r="G221" t="str">
        <f>VLOOKUP(F221,Hospitals!E:H,4,FALSE)</f>
        <v>29.76378 , 76.5609</v>
      </c>
      <c r="H221" s="1">
        <v>45379</v>
      </c>
      <c r="I221" s="1">
        <v>45379</v>
      </c>
      <c r="J221">
        <v>21.655999999999999</v>
      </c>
      <c r="K221">
        <v>20.117999999999999</v>
      </c>
      <c r="L221">
        <v>19.318000000000001</v>
      </c>
      <c r="M221">
        <v>23.529</v>
      </c>
      <c r="N221">
        <v>21.739000000000001</v>
      </c>
      <c r="O221">
        <v>21.739000000000001</v>
      </c>
      <c r="P221">
        <v>23.529</v>
      </c>
      <c r="Q221">
        <v>21.739000000000001</v>
      </c>
      <c r="R221">
        <v>21.739000000000001</v>
      </c>
      <c r="S221">
        <v>10</v>
      </c>
      <c r="T221">
        <v>8.3330000000000002</v>
      </c>
      <c r="U221">
        <v>0</v>
      </c>
      <c r="V221">
        <f t="shared" si="9"/>
        <v>19.6785</v>
      </c>
      <c r="W221">
        <f t="shared" si="10"/>
        <v>17.982250000000001</v>
      </c>
      <c r="X221">
        <f t="shared" si="11"/>
        <v>15.699000000000002</v>
      </c>
      <c r="Y221">
        <v>13</v>
      </c>
      <c r="Z221" s="2" t="s">
        <v>241</v>
      </c>
    </row>
    <row r="222" spans="1:26" x14ac:dyDescent="0.25">
      <c r="A222">
        <v>614</v>
      </c>
      <c r="B222">
        <v>269</v>
      </c>
      <c r="C222" t="s">
        <v>22</v>
      </c>
      <c r="D222" t="s">
        <v>239</v>
      </c>
      <c r="E222" t="s">
        <v>24</v>
      </c>
      <c r="F222" t="s">
        <v>243</v>
      </c>
      <c r="G222" t="str">
        <f>VLOOKUP(F222,Hospitals!E:H,4,FALSE)</f>
        <v>29.84901 , 76.66197</v>
      </c>
      <c r="H222" s="1">
        <v>45408</v>
      </c>
      <c r="I222" t="s">
        <v>35</v>
      </c>
      <c r="J222">
        <v>66.242000000000004</v>
      </c>
      <c r="K222">
        <v>61.537999999999997</v>
      </c>
      <c r="L222">
        <v>59.658999999999999</v>
      </c>
      <c r="M222">
        <v>64.706000000000003</v>
      </c>
      <c r="N222">
        <v>47.826000000000001</v>
      </c>
      <c r="O222">
        <v>47.826000000000001</v>
      </c>
      <c r="P222">
        <v>64.706000000000003</v>
      </c>
      <c r="Q222">
        <v>47.826000000000001</v>
      </c>
      <c r="R222">
        <v>47.826000000000001</v>
      </c>
      <c r="S222">
        <v>0</v>
      </c>
      <c r="T222">
        <v>0</v>
      </c>
      <c r="U222">
        <v>0</v>
      </c>
      <c r="V222">
        <f t="shared" si="9"/>
        <v>48.913499999999999</v>
      </c>
      <c r="W222">
        <f t="shared" si="10"/>
        <v>39.297499999999999</v>
      </c>
      <c r="X222">
        <f t="shared" si="11"/>
        <v>38.827750000000002</v>
      </c>
      <c r="Y222">
        <v>13</v>
      </c>
      <c r="Z222" s="2" t="s">
        <v>241</v>
      </c>
    </row>
    <row r="223" spans="1:26" x14ac:dyDescent="0.25">
      <c r="A223">
        <v>611</v>
      </c>
      <c r="B223">
        <v>270</v>
      </c>
      <c r="C223" t="s">
        <v>22</v>
      </c>
      <c r="D223" t="s">
        <v>239</v>
      </c>
      <c r="E223" t="s">
        <v>27</v>
      </c>
      <c r="F223" t="s">
        <v>244</v>
      </c>
      <c r="G223" t="str">
        <f>VLOOKUP(F223,Hospitals!E:H,4,FALSE)</f>
        <v>28.99308 , 77.01507</v>
      </c>
      <c r="H223" s="1">
        <v>45393</v>
      </c>
      <c r="I223" s="1">
        <v>45393</v>
      </c>
      <c r="J223">
        <v>27.388999999999999</v>
      </c>
      <c r="K223">
        <v>25.443999999999999</v>
      </c>
      <c r="L223">
        <v>24.431999999999999</v>
      </c>
      <c r="M223">
        <v>23.529</v>
      </c>
      <c r="N223">
        <v>21.739000000000001</v>
      </c>
      <c r="O223">
        <v>21.739000000000001</v>
      </c>
      <c r="P223">
        <v>23.529</v>
      </c>
      <c r="Q223">
        <v>21.739000000000001</v>
      </c>
      <c r="R223">
        <v>21.739000000000001</v>
      </c>
      <c r="S223">
        <v>0</v>
      </c>
      <c r="T223">
        <v>0</v>
      </c>
      <c r="U223">
        <v>0</v>
      </c>
      <c r="V223">
        <f t="shared" si="9"/>
        <v>18.611750000000001</v>
      </c>
      <c r="W223">
        <f t="shared" si="10"/>
        <v>17.230499999999999</v>
      </c>
      <c r="X223">
        <f t="shared" si="11"/>
        <v>16.977499999999999</v>
      </c>
      <c r="Y223">
        <v>13</v>
      </c>
      <c r="Z223" s="2" t="s">
        <v>241</v>
      </c>
    </row>
    <row r="224" spans="1:26" x14ac:dyDescent="0.25">
      <c r="A224">
        <v>510</v>
      </c>
      <c r="B224">
        <v>271</v>
      </c>
      <c r="C224" t="s">
        <v>22</v>
      </c>
      <c r="D224" t="s">
        <v>239</v>
      </c>
      <c r="E224" t="s">
        <v>27</v>
      </c>
      <c r="F224" t="s">
        <v>245</v>
      </c>
      <c r="G224" t="str">
        <f>VLOOKUP(F224,Hospitals!E:H,4,FALSE)</f>
        <v>29.79336 , 76.42139</v>
      </c>
      <c r="H224" s="1">
        <v>45383</v>
      </c>
      <c r="I224" s="1">
        <v>45383</v>
      </c>
      <c r="J224">
        <v>38.853999999999999</v>
      </c>
      <c r="K224">
        <v>36.686</v>
      </c>
      <c r="L224">
        <v>35.226999999999997</v>
      </c>
      <c r="M224">
        <v>52.941000000000003</v>
      </c>
      <c r="N224">
        <v>39.130000000000003</v>
      </c>
      <c r="O224">
        <v>39.130000000000003</v>
      </c>
      <c r="P224">
        <v>52.941000000000003</v>
      </c>
      <c r="Q224">
        <v>39.130000000000003</v>
      </c>
      <c r="R224">
        <v>39.130000000000003</v>
      </c>
      <c r="S224">
        <v>0</v>
      </c>
      <c r="T224">
        <v>0</v>
      </c>
      <c r="U224">
        <v>0</v>
      </c>
      <c r="V224">
        <f t="shared" si="9"/>
        <v>36.183999999999997</v>
      </c>
      <c r="W224">
        <f t="shared" si="10"/>
        <v>28.736499999999999</v>
      </c>
      <c r="X224">
        <f t="shared" si="11"/>
        <v>28.371749999999999</v>
      </c>
      <c r="Y224">
        <v>13</v>
      </c>
      <c r="Z224" s="2" t="s">
        <v>241</v>
      </c>
    </row>
    <row r="225" spans="1:26" x14ac:dyDescent="0.25">
      <c r="A225">
        <v>526</v>
      </c>
      <c r="B225">
        <v>272</v>
      </c>
      <c r="C225" t="s">
        <v>22</v>
      </c>
      <c r="D225" t="s">
        <v>239</v>
      </c>
      <c r="E225" t="s">
        <v>27</v>
      </c>
      <c r="F225" t="s">
        <v>246</v>
      </c>
      <c r="G225" t="str">
        <f>VLOOKUP(F225,Hospitals!E:H,4,FALSE)</f>
        <v>29.80345 , 76.40566</v>
      </c>
      <c r="H225" s="1">
        <v>45394</v>
      </c>
      <c r="I225" s="1">
        <v>45394</v>
      </c>
      <c r="J225">
        <v>52.866</v>
      </c>
      <c r="K225">
        <v>49.112000000000002</v>
      </c>
      <c r="L225">
        <v>47.158999999999999</v>
      </c>
      <c r="M225">
        <v>35.293999999999997</v>
      </c>
      <c r="N225">
        <v>26.087</v>
      </c>
      <c r="O225">
        <v>26.087</v>
      </c>
      <c r="P225">
        <v>35.293999999999997</v>
      </c>
      <c r="Q225">
        <v>26.087</v>
      </c>
      <c r="R225">
        <v>26.087</v>
      </c>
      <c r="S225">
        <v>0</v>
      </c>
      <c r="T225">
        <v>0</v>
      </c>
      <c r="U225">
        <v>0</v>
      </c>
      <c r="V225">
        <f t="shared" si="9"/>
        <v>30.863499999999998</v>
      </c>
      <c r="W225">
        <f t="shared" si="10"/>
        <v>25.3215</v>
      </c>
      <c r="X225">
        <f t="shared" si="11"/>
        <v>24.83325</v>
      </c>
      <c r="Y225">
        <v>13</v>
      </c>
      <c r="Z225" s="2" t="s">
        <v>241</v>
      </c>
    </row>
    <row r="226" spans="1:26" x14ac:dyDescent="0.25">
      <c r="A226">
        <v>538</v>
      </c>
      <c r="B226">
        <v>273</v>
      </c>
      <c r="C226" t="s">
        <v>22</v>
      </c>
      <c r="D226" t="s">
        <v>239</v>
      </c>
      <c r="E226" t="s">
        <v>27</v>
      </c>
      <c r="F226" t="s">
        <v>247</v>
      </c>
      <c r="G226" t="str">
        <f>VLOOKUP(F226,Hospitals!E:H,4,FALSE)</f>
        <v>28.99308 , 77.01507</v>
      </c>
      <c r="H226" s="1">
        <v>45393</v>
      </c>
      <c r="I226" s="1">
        <v>45393</v>
      </c>
      <c r="J226">
        <v>29.936</v>
      </c>
      <c r="K226">
        <v>28.402000000000001</v>
      </c>
      <c r="L226">
        <v>27.273</v>
      </c>
      <c r="M226">
        <v>35.293999999999997</v>
      </c>
      <c r="N226">
        <v>30.434999999999999</v>
      </c>
      <c r="O226">
        <v>30.434999999999999</v>
      </c>
      <c r="P226">
        <v>35.293999999999997</v>
      </c>
      <c r="Q226">
        <v>30.434999999999999</v>
      </c>
      <c r="R226">
        <v>30.434999999999999</v>
      </c>
      <c r="S226">
        <v>0</v>
      </c>
      <c r="T226">
        <v>0</v>
      </c>
      <c r="U226">
        <v>0</v>
      </c>
      <c r="V226">
        <f t="shared" si="9"/>
        <v>25.130999999999997</v>
      </c>
      <c r="W226">
        <f t="shared" si="10"/>
        <v>22.318000000000001</v>
      </c>
      <c r="X226">
        <f t="shared" si="11"/>
        <v>22.03575</v>
      </c>
      <c r="Y226">
        <v>13</v>
      </c>
      <c r="Z226" s="2" t="s">
        <v>241</v>
      </c>
    </row>
    <row r="227" spans="1:26" x14ac:dyDescent="0.25">
      <c r="A227">
        <v>534</v>
      </c>
      <c r="B227">
        <v>274</v>
      </c>
      <c r="C227" t="s">
        <v>22</v>
      </c>
      <c r="D227" t="s">
        <v>239</v>
      </c>
      <c r="E227" t="s">
        <v>27</v>
      </c>
      <c r="F227" t="s">
        <v>248</v>
      </c>
      <c r="G227" t="str">
        <f>VLOOKUP(F227,Hospitals!E:H,4,FALSE)</f>
        <v>29.8032 , 76.40555</v>
      </c>
      <c r="H227" s="1">
        <v>45404</v>
      </c>
      <c r="I227" s="1">
        <v>45404</v>
      </c>
      <c r="J227">
        <v>33.758000000000003</v>
      </c>
      <c r="K227">
        <v>31.361000000000001</v>
      </c>
      <c r="L227">
        <v>30.114000000000001</v>
      </c>
      <c r="M227">
        <v>35.293999999999997</v>
      </c>
      <c r="N227">
        <v>26.087</v>
      </c>
      <c r="O227">
        <v>26.087</v>
      </c>
      <c r="P227">
        <v>35.293999999999997</v>
      </c>
      <c r="Q227">
        <v>26.087</v>
      </c>
      <c r="R227">
        <v>26.087</v>
      </c>
      <c r="S227">
        <v>0</v>
      </c>
      <c r="T227">
        <v>0</v>
      </c>
      <c r="U227">
        <v>0</v>
      </c>
      <c r="V227">
        <f t="shared" si="9"/>
        <v>26.086499999999997</v>
      </c>
      <c r="W227">
        <f t="shared" si="10"/>
        <v>20.883749999999999</v>
      </c>
      <c r="X227">
        <f t="shared" si="11"/>
        <v>20.571999999999999</v>
      </c>
      <c r="Y227">
        <v>13</v>
      </c>
      <c r="Z227" s="2" t="s">
        <v>241</v>
      </c>
    </row>
    <row r="228" spans="1:26" x14ac:dyDescent="0.25">
      <c r="A228">
        <v>357</v>
      </c>
      <c r="B228">
        <v>275</v>
      </c>
      <c r="C228" t="s">
        <v>22</v>
      </c>
      <c r="D228" t="s">
        <v>239</v>
      </c>
      <c r="E228" t="s">
        <v>27</v>
      </c>
      <c r="F228" t="s">
        <v>249</v>
      </c>
      <c r="G228" t="str">
        <f>VLOOKUP(F228,Hospitals!E:H,4,FALSE)</f>
        <v>29.57813 , 76.47944</v>
      </c>
      <c r="H228" s="1">
        <v>45363</v>
      </c>
      <c r="I228" s="1">
        <v>45364</v>
      </c>
      <c r="J228">
        <v>0</v>
      </c>
      <c r="K228">
        <v>0</v>
      </c>
      <c r="L228">
        <v>0</v>
      </c>
      <c r="M228">
        <v>29.411999999999999</v>
      </c>
      <c r="N228">
        <v>21.739000000000001</v>
      </c>
      <c r="O228">
        <v>21.739000000000001</v>
      </c>
      <c r="P228">
        <v>29.411999999999999</v>
      </c>
      <c r="Q228">
        <v>21.739000000000001</v>
      </c>
      <c r="R228">
        <v>21.739000000000001</v>
      </c>
      <c r="S228">
        <v>0</v>
      </c>
      <c r="T228">
        <v>0</v>
      </c>
      <c r="U228">
        <v>0</v>
      </c>
      <c r="V228">
        <f t="shared" si="9"/>
        <v>14.706</v>
      </c>
      <c r="W228">
        <f t="shared" si="10"/>
        <v>10.8695</v>
      </c>
      <c r="X228">
        <f t="shared" si="11"/>
        <v>10.8695</v>
      </c>
      <c r="Y228">
        <v>13</v>
      </c>
      <c r="Z228" s="2" t="s">
        <v>241</v>
      </c>
    </row>
    <row r="229" spans="1:26" x14ac:dyDescent="0.25">
      <c r="A229">
        <v>529</v>
      </c>
      <c r="B229">
        <v>276</v>
      </c>
      <c r="C229" t="s">
        <v>22</v>
      </c>
      <c r="D229" t="s">
        <v>239</v>
      </c>
      <c r="E229" t="s">
        <v>27</v>
      </c>
      <c r="F229" t="s">
        <v>250</v>
      </c>
      <c r="G229" t="str">
        <f>VLOOKUP(F229,Hospitals!E:H,4,FALSE)</f>
        <v>29.7296 , 76.4423</v>
      </c>
      <c r="H229" s="1">
        <v>45404</v>
      </c>
      <c r="I229" s="1">
        <v>45404</v>
      </c>
      <c r="J229">
        <v>25.478000000000002</v>
      </c>
      <c r="K229">
        <v>24.26</v>
      </c>
      <c r="L229">
        <v>23.295000000000002</v>
      </c>
      <c r="M229">
        <v>47.058999999999997</v>
      </c>
      <c r="N229">
        <v>34.783000000000001</v>
      </c>
      <c r="O229">
        <v>34.783000000000001</v>
      </c>
      <c r="P229">
        <v>47.058999999999997</v>
      </c>
      <c r="Q229">
        <v>34.783000000000001</v>
      </c>
      <c r="R229">
        <v>34.783000000000001</v>
      </c>
      <c r="S229">
        <v>0</v>
      </c>
      <c r="T229">
        <v>0</v>
      </c>
      <c r="U229">
        <v>0</v>
      </c>
      <c r="V229">
        <f t="shared" si="9"/>
        <v>29.899000000000001</v>
      </c>
      <c r="W229">
        <f t="shared" si="10"/>
        <v>23.456500000000002</v>
      </c>
      <c r="X229">
        <f t="shared" si="11"/>
        <v>23.215250000000001</v>
      </c>
      <c r="Y229">
        <v>13</v>
      </c>
      <c r="Z229" s="2" t="s">
        <v>241</v>
      </c>
    </row>
    <row r="230" spans="1:26" x14ac:dyDescent="0.25">
      <c r="A230">
        <v>539</v>
      </c>
      <c r="B230">
        <v>277</v>
      </c>
      <c r="C230" t="s">
        <v>22</v>
      </c>
      <c r="D230" t="s">
        <v>239</v>
      </c>
      <c r="E230" t="s">
        <v>27</v>
      </c>
      <c r="F230" t="s">
        <v>251</v>
      </c>
      <c r="G230" t="str">
        <f>VLOOKUP(F230,Hospitals!E:H,4,FALSE)</f>
        <v>29.80344 , 76.40551</v>
      </c>
      <c r="H230" s="1">
        <v>45418</v>
      </c>
      <c r="I230" s="1">
        <v>45418</v>
      </c>
      <c r="J230">
        <v>82.165999999999997</v>
      </c>
      <c r="K230">
        <v>79.290000000000006</v>
      </c>
      <c r="L230">
        <v>76.135999999999996</v>
      </c>
      <c r="M230">
        <v>82.352999999999994</v>
      </c>
      <c r="N230">
        <v>60.87</v>
      </c>
      <c r="O230">
        <v>60.87</v>
      </c>
      <c r="P230">
        <v>82.352999999999994</v>
      </c>
      <c r="Q230">
        <v>60.87</v>
      </c>
      <c r="R230">
        <v>60.87</v>
      </c>
      <c r="S230">
        <v>0</v>
      </c>
      <c r="T230">
        <v>0</v>
      </c>
      <c r="U230">
        <v>0</v>
      </c>
      <c r="V230">
        <f t="shared" si="9"/>
        <v>61.718000000000004</v>
      </c>
      <c r="W230">
        <f t="shared" si="10"/>
        <v>50.2575</v>
      </c>
      <c r="X230">
        <f t="shared" si="11"/>
        <v>49.469000000000001</v>
      </c>
      <c r="Y230">
        <v>13</v>
      </c>
      <c r="Z230" s="2" t="s">
        <v>241</v>
      </c>
    </row>
    <row r="231" spans="1:26" x14ac:dyDescent="0.25">
      <c r="A231">
        <v>600</v>
      </c>
      <c r="B231">
        <v>278</v>
      </c>
      <c r="C231" t="s">
        <v>22</v>
      </c>
      <c r="D231" t="s">
        <v>239</v>
      </c>
      <c r="E231" t="s">
        <v>27</v>
      </c>
      <c r="F231" t="s">
        <v>252</v>
      </c>
      <c r="G231" t="str">
        <f>VLOOKUP(F231,Hospitals!E:H,4,FALSE)</f>
        <v>29.7599 , 76.56243</v>
      </c>
      <c r="H231" s="1">
        <v>45407</v>
      </c>
      <c r="I231" s="1">
        <v>45407</v>
      </c>
      <c r="J231">
        <v>15.287000000000001</v>
      </c>
      <c r="K231">
        <v>14.201000000000001</v>
      </c>
      <c r="L231">
        <v>13.635999999999999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f t="shared" si="9"/>
        <v>3.8217500000000002</v>
      </c>
      <c r="W231">
        <f t="shared" si="10"/>
        <v>3.5502500000000001</v>
      </c>
      <c r="X231">
        <f t="shared" si="11"/>
        <v>3.4089999999999998</v>
      </c>
      <c r="Y231">
        <v>13</v>
      </c>
      <c r="Z231" s="2" t="s">
        <v>241</v>
      </c>
    </row>
    <row r="232" spans="1:26" x14ac:dyDescent="0.25">
      <c r="A232">
        <v>377</v>
      </c>
      <c r="B232">
        <v>279</v>
      </c>
      <c r="C232" t="s">
        <v>22</v>
      </c>
      <c r="D232" t="s">
        <v>239</v>
      </c>
      <c r="E232" t="s">
        <v>77</v>
      </c>
      <c r="F232" t="s">
        <v>253</v>
      </c>
      <c r="G232" t="str">
        <f>VLOOKUP(F232,Hospitals!E:H,4,FALSE)</f>
        <v>29.6778 , 76.24138</v>
      </c>
      <c r="H232" s="1">
        <v>45379</v>
      </c>
      <c r="I232" s="1">
        <v>45379</v>
      </c>
      <c r="J232">
        <v>41.401000000000003</v>
      </c>
      <c r="K232">
        <v>39.052999999999997</v>
      </c>
      <c r="L232">
        <v>38.067999999999998</v>
      </c>
      <c r="M232">
        <v>64.706000000000003</v>
      </c>
      <c r="N232">
        <v>47.826000000000001</v>
      </c>
      <c r="O232">
        <v>47.826000000000001</v>
      </c>
      <c r="P232">
        <v>64.706000000000003</v>
      </c>
      <c r="Q232">
        <v>47.826000000000001</v>
      </c>
      <c r="R232">
        <v>47.826000000000001</v>
      </c>
      <c r="S232">
        <v>10</v>
      </c>
      <c r="T232">
        <v>8.3330000000000002</v>
      </c>
      <c r="U232">
        <v>7.1429999999999998</v>
      </c>
      <c r="V232">
        <f t="shared" si="9"/>
        <v>45.203249999999997</v>
      </c>
      <c r="W232">
        <f t="shared" si="10"/>
        <v>35.759499999999996</v>
      </c>
      <c r="X232">
        <f t="shared" si="11"/>
        <v>35.21575</v>
      </c>
      <c r="Y232">
        <v>13</v>
      </c>
      <c r="Z232" s="2" t="s">
        <v>241</v>
      </c>
    </row>
    <row r="233" spans="1:26" x14ac:dyDescent="0.25">
      <c r="A233">
        <v>702</v>
      </c>
      <c r="B233">
        <v>280</v>
      </c>
      <c r="C233" t="s">
        <v>22</v>
      </c>
      <c r="D233" t="s">
        <v>254</v>
      </c>
      <c r="E233" t="s">
        <v>24</v>
      </c>
      <c r="F233" t="s">
        <v>255</v>
      </c>
      <c r="G233" t="str">
        <f>VLOOKUP(F233,Hospitals!E:H,4,FALSE)</f>
        <v>29.6963 , 76.98369</v>
      </c>
      <c r="H233" s="1">
        <v>45419</v>
      </c>
      <c r="I233" s="1">
        <v>45419</v>
      </c>
      <c r="J233">
        <v>15.287000000000001</v>
      </c>
      <c r="K233">
        <v>14.201000000000001</v>
      </c>
      <c r="L233">
        <v>13.635999999999999</v>
      </c>
      <c r="M233">
        <v>17.646999999999998</v>
      </c>
      <c r="N233">
        <v>13.042999999999999</v>
      </c>
      <c r="O233">
        <v>13.042999999999999</v>
      </c>
      <c r="P233">
        <v>17.646999999999998</v>
      </c>
      <c r="Q233">
        <v>13.042999999999999</v>
      </c>
      <c r="R233">
        <v>13.042999999999999</v>
      </c>
      <c r="S233">
        <v>0</v>
      </c>
      <c r="T233">
        <v>0</v>
      </c>
      <c r="U233">
        <v>0</v>
      </c>
      <c r="V233">
        <f t="shared" si="9"/>
        <v>12.645249999999999</v>
      </c>
      <c r="W233">
        <f t="shared" si="10"/>
        <v>10.07175</v>
      </c>
      <c r="X233">
        <f t="shared" si="11"/>
        <v>9.9304999999999986</v>
      </c>
      <c r="Y233">
        <v>13</v>
      </c>
      <c r="Z233" s="2" t="s">
        <v>256</v>
      </c>
    </row>
    <row r="234" spans="1:26" x14ac:dyDescent="0.25">
      <c r="A234">
        <v>666</v>
      </c>
      <c r="B234">
        <v>281</v>
      </c>
      <c r="C234" t="s">
        <v>22</v>
      </c>
      <c r="D234" t="s">
        <v>254</v>
      </c>
      <c r="E234" t="s">
        <v>24</v>
      </c>
      <c r="F234" t="s">
        <v>257</v>
      </c>
      <c r="G234" t="str">
        <f>VLOOKUP(F234,Hospitals!E:H,4,FALSE)</f>
        <v>29.53476 , 76.97365</v>
      </c>
      <c r="H234" s="1">
        <v>45441</v>
      </c>
      <c r="I234" s="1">
        <v>45463</v>
      </c>
      <c r="J234">
        <v>75.159000000000006</v>
      </c>
      <c r="K234">
        <v>69.822000000000003</v>
      </c>
      <c r="L234">
        <v>67.045000000000002</v>
      </c>
      <c r="M234">
        <v>58.823999999999998</v>
      </c>
      <c r="N234">
        <v>56.521999999999998</v>
      </c>
      <c r="O234">
        <v>56.521999999999998</v>
      </c>
      <c r="P234">
        <v>58.823999999999998</v>
      </c>
      <c r="Q234">
        <v>56.521999999999998</v>
      </c>
      <c r="R234">
        <v>56.521999999999998</v>
      </c>
      <c r="S234">
        <v>10</v>
      </c>
      <c r="T234">
        <v>8.3330000000000002</v>
      </c>
      <c r="U234">
        <v>0</v>
      </c>
      <c r="V234">
        <f t="shared" si="9"/>
        <v>50.701750000000004</v>
      </c>
      <c r="W234">
        <f t="shared" si="10"/>
        <v>47.799749999999996</v>
      </c>
      <c r="X234">
        <f t="shared" si="11"/>
        <v>45.02225</v>
      </c>
      <c r="Y234">
        <v>13</v>
      </c>
      <c r="Z234" s="2" t="s">
        <v>256</v>
      </c>
    </row>
    <row r="235" spans="1:26" x14ac:dyDescent="0.25">
      <c r="A235">
        <v>668</v>
      </c>
      <c r="B235">
        <v>282</v>
      </c>
      <c r="C235" t="s">
        <v>22</v>
      </c>
      <c r="D235" t="s">
        <v>254</v>
      </c>
      <c r="E235" t="s">
        <v>24</v>
      </c>
      <c r="F235" t="s">
        <v>258</v>
      </c>
      <c r="G235" t="str">
        <f>VLOOKUP(F235,Hospitals!E:H,4,FALSE)</f>
        <v>29.69884 , 77.02859</v>
      </c>
      <c r="H235" s="1">
        <v>45416</v>
      </c>
      <c r="I235" s="1">
        <v>45416</v>
      </c>
      <c r="J235">
        <v>71.974999999999994</v>
      </c>
      <c r="K235">
        <v>67.456000000000003</v>
      </c>
      <c r="L235">
        <v>64.772999999999996</v>
      </c>
      <c r="M235">
        <v>35.293999999999997</v>
      </c>
      <c r="N235">
        <v>26.087</v>
      </c>
      <c r="O235">
        <v>26.087</v>
      </c>
      <c r="P235">
        <v>35.293999999999997</v>
      </c>
      <c r="Q235">
        <v>26.087</v>
      </c>
      <c r="R235">
        <v>26.087</v>
      </c>
      <c r="S235">
        <v>10</v>
      </c>
      <c r="T235">
        <v>8.3330000000000002</v>
      </c>
      <c r="U235">
        <v>0</v>
      </c>
      <c r="V235">
        <f t="shared" si="9"/>
        <v>38.140749999999997</v>
      </c>
      <c r="W235">
        <f t="shared" si="10"/>
        <v>31.990750000000002</v>
      </c>
      <c r="X235">
        <f t="shared" si="11"/>
        <v>29.236750000000001</v>
      </c>
      <c r="Y235">
        <v>13</v>
      </c>
      <c r="Z235" s="2" t="s">
        <v>256</v>
      </c>
    </row>
    <row r="236" spans="1:26" x14ac:dyDescent="0.25">
      <c r="A236">
        <v>284</v>
      </c>
      <c r="B236">
        <v>283</v>
      </c>
      <c r="C236" t="s">
        <v>22</v>
      </c>
      <c r="D236" t="s">
        <v>254</v>
      </c>
      <c r="E236" t="s">
        <v>24</v>
      </c>
      <c r="F236" t="s">
        <v>259</v>
      </c>
      <c r="G236" t="str">
        <f>VLOOKUP(F236,Hospitals!E:H,4,FALSE)</f>
        <v>28.99308 , 77.01507</v>
      </c>
      <c r="H236" s="1">
        <v>45692</v>
      </c>
      <c r="I236" s="1">
        <v>45692</v>
      </c>
      <c r="J236">
        <v>43.311999999999998</v>
      </c>
      <c r="K236">
        <v>40.237000000000002</v>
      </c>
      <c r="L236">
        <v>38.636000000000003</v>
      </c>
      <c r="M236">
        <v>17.646999999999998</v>
      </c>
      <c r="N236">
        <v>13.042999999999999</v>
      </c>
      <c r="O236">
        <v>13.042999999999999</v>
      </c>
      <c r="P236">
        <v>17.646999999999998</v>
      </c>
      <c r="Q236">
        <v>13.042999999999999</v>
      </c>
      <c r="R236">
        <v>13.042999999999999</v>
      </c>
      <c r="S236">
        <v>0</v>
      </c>
      <c r="T236">
        <v>0</v>
      </c>
      <c r="U236">
        <v>0</v>
      </c>
      <c r="V236">
        <f t="shared" si="9"/>
        <v>19.651499999999999</v>
      </c>
      <c r="W236">
        <f t="shared" si="10"/>
        <v>16.580750000000002</v>
      </c>
      <c r="X236">
        <f t="shared" si="11"/>
        <v>16.180500000000002</v>
      </c>
      <c r="Y236">
        <v>13</v>
      </c>
      <c r="Z236" s="2" t="s">
        <v>256</v>
      </c>
    </row>
    <row r="237" spans="1:26" x14ac:dyDescent="0.25">
      <c r="A237">
        <v>355</v>
      </c>
      <c r="B237">
        <v>284</v>
      </c>
      <c r="C237" t="s">
        <v>22</v>
      </c>
      <c r="D237" t="s">
        <v>254</v>
      </c>
      <c r="E237" t="s">
        <v>24</v>
      </c>
      <c r="F237" t="s">
        <v>260</v>
      </c>
      <c r="G237" t="str">
        <f>VLOOKUP(F237,Hospitals!E:H,4,FALSE)</f>
        <v>29.83591 , 76.73566</v>
      </c>
      <c r="H237" s="1">
        <v>45418</v>
      </c>
      <c r="I237" s="1">
        <v>45418</v>
      </c>
      <c r="J237">
        <v>59.235999999999997</v>
      </c>
      <c r="K237">
        <v>55.621000000000002</v>
      </c>
      <c r="L237">
        <v>53.408999999999999</v>
      </c>
      <c r="M237">
        <v>52.941000000000003</v>
      </c>
      <c r="N237">
        <v>43.478000000000002</v>
      </c>
      <c r="O237">
        <v>43.478000000000002</v>
      </c>
      <c r="P237">
        <v>52.941000000000003</v>
      </c>
      <c r="Q237">
        <v>43.478000000000002</v>
      </c>
      <c r="R237">
        <v>43.478000000000002</v>
      </c>
      <c r="S237">
        <v>0</v>
      </c>
      <c r="T237">
        <v>0</v>
      </c>
      <c r="U237">
        <v>0</v>
      </c>
      <c r="V237">
        <f t="shared" si="9"/>
        <v>41.279499999999999</v>
      </c>
      <c r="W237">
        <f t="shared" si="10"/>
        <v>35.64425</v>
      </c>
      <c r="X237">
        <f t="shared" si="11"/>
        <v>35.091250000000002</v>
      </c>
      <c r="Y237">
        <v>13</v>
      </c>
      <c r="Z237" s="2" t="s">
        <v>256</v>
      </c>
    </row>
    <row r="238" spans="1:26" x14ac:dyDescent="0.25">
      <c r="A238">
        <v>673</v>
      </c>
      <c r="B238">
        <v>285</v>
      </c>
      <c r="C238" t="s">
        <v>22</v>
      </c>
      <c r="D238" t="s">
        <v>254</v>
      </c>
      <c r="E238" t="s">
        <v>24</v>
      </c>
      <c r="F238" t="s">
        <v>261</v>
      </c>
      <c r="G238" t="str">
        <f>VLOOKUP(F238,Hospitals!E:H,4,FALSE)</f>
        <v>29.69369 , 77.0139</v>
      </c>
      <c r="H238" s="1">
        <v>45421</v>
      </c>
      <c r="I238" s="1">
        <v>45421</v>
      </c>
      <c r="J238">
        <v>49.682000000000002</v>
      </c>
      <c r="K238">
        <v>46.154000000000003</v>
      </c>
      <c r="L238">
        <v>44.317999999999998</v>
      </c>
      <c r="M238">
        <v>52.941000000000003</v>
      </c>
      <c r="N238">
        <v>39.130000000000003</v>
      </c>
      <c r="O238">
        <v>39.130000000000003</v>
      </c>
      <c r="P238">
        <v>52.941000000000003</v>
      </c>
      <c r="Q238">
        <v>39.130000000000003</v>
      </c>
      <c r="R238">
        <v>39.130000000000003</v>
      </c>
      <c r="S238">
        <v>20</v>
      </c>
      <c r="T238">
        <v>8.3330000000000002</v>
      </c>
      <c r="U238">
        <v>0</v>
      </c>
      <c r="V238">
        <f t="shared" si="9"/>
        <v>43.891000000000005</v>
      </c>
      <c r="W238">
        <f t="shared" si="10"/>
        <v>33.186750000000004</v>
      </c>
      <c r="X238">
        <f t="shared" si="11"/>
        <v>30.644500000000001</v>
      </c>
      <c r="Y238">
        <v>13</v>
      </c>
      <c r="Z238" s="2" t="s">
        <v>256</v>
      </c>
    </row>
    <row r="239" spans="1:26" x14ac:dyDescent="0.25">
      <c r="A239">
        <v>291</v>
      </c>
      <c r="B239">
        <v>286</v>
      </c>
      <c r="C239" t="s">
        <v>22</v>
      </c>
      <c r="D239" t="s">
        <v>254</v>
      </c>
      <c r="E239" t="s">
        <v>24</v>
      </c>
      <c r="F239" t="s">
        <v>262</v>
      </c>
      <c r="G239" t="str">
        <f>VLOOKUP(F239,Hospitals!E:H,4,FALSE)</f>
        <v>29.52724 , 76.61814</v>
      </c>
      <c r="H239" s="1">
        <v>45419</v>
      </c>
      <c r="I239" s="1">
        <v>45419</v>
      </c>
      <c r="J239">
        <v>72.611000000000004</v>
      </c>
      <c r="K239">
        <v>69.230999999999995</v>
      </c>
      <c r="L239">
        <v>66.477000000000004</v>
      </c>
      <c r="M239">
        <v>58.823999999999998</v>
      </c>
      <c r="N239">
        <v>43.478000000000002</v>
      </c>
      <c r="O239">
        <v>43.478000000000002</v>
      </c>
      <c r="P239">
        <v>58.823999999999998</v>
      </c>
      <c r="Q239">
        <v>43.478000000000002</v>
      </c>
      <c r="R239">
        <v>43.478000000000002</v>
      </c>
      <c r="S239">
        <v>10</v>
      </c>
      <c r="T239">
        <v>8.3330000000000002</v>
      </c>
      <c r="U239">
        <v>0</v>
      </c>
      <c r="V239">
        <f t="shared" si="9"/>
        <v>50.064750000000004</v>
      </c>
      <c r="W239">
        <f t="shared" si="10"/>
        <v>41.13</v>
      </c>
      <c r="X239">
        <f t="shared" si="11"/>
        <v>38.358250000000005</v>
      </c>
      <c r="Y239">
        <v>13</v>
      </c>
      <c r="Z239" s="2" t="s">
        <v>256</v>
      </c>
    </row>
    <row r="240" spans="1:26" x14ac:dyDescent="0.25">
      <c r="A240">
        <v>694</v>
      </c>
      <c r="B240">
        <v>287</v>
      </c>
      <c r="C240" t="s">
        <v>22</v>
      </c>
      <c r="D240" t="s">
        <v>254</v>
      </c>
      <c r="E240" t="s">
        <v>24</v>
      </c>
      <c r="F240" t="s">
        <v>263</v>
      </c>
      <c r="G240" t="str">
        <f>VLOOKUP(F240,Hospitals!E:H,4,FALSE)</f>
        <v>29.77552 , 76.41003</v>
      </c>
      <c r="H240" s="1">
        <v>45419</v>
      </c>
      <c r="I240" s="1">
        <v>45419</v>
      </c>
      <c r="J240">
        <v>56.688000000000002</v>
      </c>
      <c r="K240">
        <v>53.253999999999998</v>
      </c>
      <c r="L240">
        <v>51.136000000000003</v>
      </c>
      <c r="M240">
        <v>58.823999999999998</v>
      </c>
      <c r="N240">
        <v>47.826000000000001</v>
      </c>
      <c r="O240">
        <v>47.826000000000001</v>
      </c>
      <c r="P240">
        <v>58.823999999999998</v>
      </c>
      <c r="Q240">
        <v>47.826000000000001</v>
      </c>
      <c r="R240">
        <v>47.826000000000001</v>
      </c>
      <c r="S240">
        <v>0</v>
      </c>
      <c r="T240">
        <v>0</v>
      </c>
      <c r="U240">
        <v>0</v>
      </c>
      <c r="V240">
        <f t="shared" si="9"/>
        <v>43.584000000000003</v>
      </c>
      <c r="W240">
        <f t="shared" si="10"/>
        <v>37.226500000000001</v>
      </c>
      <c r="X240">
        <f t="shared" si="11"/>
        <v>36.697000000000003</v>
      </c>
      <c r="Y240">
        <v>13</v>
      </c>
      <c r="Z240" s="2" t="s">
        <v>256</v>
      </c>
    </row>
    <row r="241" spans="1:26" x14ac:dyDescent="0.25">
      <c r="A241">
        <v>679</v>
      </c>
      <c r="B241">
        <v>288</v>
      </c>
      <c r="C241" t="s">
        <v>22</v>
      </c>
      <c r="D241" t="s">
        <v>254</v>
      </c>
      <c r="E241" t="s">
        <v>62</v>
      </c>
      <c r="F241" t="s">
        <v>264</v>
      </c>
      <c r="G241" t="str">
        <f>VLOOKUP(F241,Hospitals!E:H,4,FALSE)</f>
        <v>29.69718 , 77.01248</v>
      </c>
      <c r="H241" s="1">
        <v>45463</v>
      </c>
      <c r="I241" s="1">
        <v>45463</v>
      </c>
      <c r="J241">
        <v>98.725999999999999</v>
      </c>
      <c r="K241">
        <v>96.45</v>
      </c>
      <c r="L241">
        <v>94.317999999999998</v>
      </c>
      <c r="M241">
        <v>100</v>
      </c>
      <c r="N241">
        <v>95.652000000000001</v>
      </c>
      <c r="O241">
        <v>95.652000000000001</v>
      </c>
      <c r="P241">
        <v>100</v>
      </c>
      <c r="Q241">
        <v>95.652000000000001</v>
      </c>
      <c r="R241">
        <v>95.652000000000001</v>
      </c>
      <c r="S241">
        <v>60</v>
      </c>
      <c r="T241">
        <v>33.332999999999998</v>
      </c>
      <c r="U241">
        <v>14.286</v>
      </c>
      <c r="V241">
        <f t="shared" si="9"/>
        <v>89.6815</v>
      </c>
      <c r="W241">
        <f t="shared" si="10"/>
        <v>80.271749999999997</v>
      </c>
      <c r="X241">
        <f t="shared" si="11"/>
        <v>74.977000000000004</v>
      </c>
      <c r="Y241">
        <v>13</v>
      </c>
      <c r="Z241" s="2" t="s">
        <v>256</v>
      </c>
    </row>
    <row r="242" spans="1:26" x14ac:dyDescent="0.25">
      <c r="A242">
        <v>1128</v>
      </c>
      <c r="B242">
        <v>292</v>
      </c>
      <c r="C242" t="s">
        <v>22</v>
      </c>
      <c r="D242" t="s">
        <v>254</v>
      </c>
      <c r="E242" t="s">
        <v>27</v>
      </c>
      <c r="F242" t="s">
        <v>265</v>
      </c>
      <c r="G242" t="str">
        <f>VLOOKUP(F242,Hospitals!E:H,4,FALSE)</f>
        <v>29.53052 , 76.98514</v>
      </c>
      <c r="H242" s="1">
        <v>45674</v>
      </c>
      <c r="I242" s="1">
        <v>45674</v>
      </c>
      <c r="J242">
        <v>38.853999999999999</v>
      </c>
      <c r="K242">
        <v>36.094999999999999</v>
      </c>
      <c r="L242">
        <v>34.658999999999999</v>
      </c>
      <c r="M242">
        <v>52.941000000000003</v>
      </c>
      <c r="N242">
        <v>39.130000000000003</v>
      </c>
      <c r="O242">
        <v>39.130000000000003</v>
      </c>
      <c r="P242">
        <v>52.941000000000003</v>
      </c>
      <c r="Q242">
        <v>39.130000000000003</v>
      </c>
      <c r="R242">
        <v>39.130000000000003</v>
      </c>
      <c r="S242">
        <v>0</v>
      </c>
      <c r="T242">
        <v>0</v>
      </c>
      <c r="U242">
        <v>0</v>
      </c>
      <c r="V242">
        <f t="shared" si="9"/>
        <v>36.183999999999997</v>
      </c>
      <c r="W242">
        <f t="shared" si="10"/>
        <v>28.588749999999997</v>
      </c>
      <c r="X242">
        <f t="shared" si="11"/>
        <v>28.229750000000003</v>
      </c>
      <c r="Y242">
        <v>13</v>
      </c>
      <c r="Z242" s="2" t="s">
        <v>256</v>
      </c>
    </row>
    <row r="243" spans="1:26" x14ac:dyDescent="0.25">
      <c r="A243">
        <v>812</v>
      </c>
      <c r="B243">
        <v>293</v>
      </c>
      <c r="C243" t="s">
        <v>22</v>
      </c>
      <c r="D243" t="s">
        <v>254</v>
      </c>
      <c r="E243" t="s">
        <v>27</v>
      </c>
      <c r="F243" t="s">
        <v>266</v>
      </c>
      <c r="G243" t="str">
        <f>VLOOKUP(F243,Hospitals!E:H,4,FALSE)</f>
        <v>29.77552 , 76.41003</v>
      </c>
      <c r="H243" s="1">
        <v>45677</v>
      </c>
      <c r="I243" s="1">
        <v>45677</v>
      </c>
      <c r="J243">
        <v>56.688000000000002</v>
      </c>
      <c r="K243">
        <v>54.438000000000002</v>
      </c>
      <c r="L243">
        <v>52.273000000000003</v>
      </c>
      <c r="M243">
        <v>52.941000000000003</v>
      </c>
      <c r="N243">
        <v>47.826000000000001</v>
      </c>
      <c r="O243">
        <v>47.826000000000001</v>
      </c>
      <c r="P243">
        <v>52.941000000000003</v>
      </c>
      <c r="Q243">
        <v>47.826000000000001</v>
      </c>
      <c r="R243">
        <v>47.826000000000001</v>
      </c>
      <c r="S243">
        <v>0</v>
      </c>
      <c r="T243">
        <v>0</v>
      </c>
      <c r="U243">
        <v>0</v>
      </c>
      <c r="V243">
        <f t="shared" si="9"/>
        <v>40.642499999999998</v>
      </c>
      <c r="W243">
        <f t="shared" si="10"/>
        <v>37.522500000000001</v>
      </c>
      <c r="X243">
        <f t="shared" si="11"/>
        <v>36.981250000000003</v>
      </c>
      <c r="Y243">
        <v>13</v>
      </c>
      <c r="Z243" s="2" t="s">
        <v>256</v>
      </c>
    </row>
    <row r="244" spans="1:26" x14ac:dyDescent="0.25">
      <c r="A244">
        <v>1141</v>
      </c>
      <c r="B244">
        <v>293</v>
      </c>
      <c r="C244" t="s">
        <v>22</v>
      </c>
      <c r="D244" t="s">
        <v>254</v>
      </c>
      <c r="E244" t="s">
        <v>27</v>
      </c>
      <c r="F244" t="s">
        <v>266</v>
      </c>
      <c r="G244" t="str">
        <f>VLOOKUP(F244,Hospitals!E:H,4,FALSE)</f>
        <v>29.77552 , 76.41003</v>
      </c>
      <c r="H244" s="1">
        <v>45677</v>
      </c>
      <c r="I244" t="s">
        <v>35</v>
      </c>
      <c r="J244">
        <v>56.688000000000002</v>
      </c>
      <c r="K244">
        <v>54.438000000000002</v>
      </c>
      <c r="L244">
        <v>52.273000000000003</v>
      </c>
      <c r="M244">
        <v>52.941000000000003</v>
      </c>
      <c r="N244">
        <v>47.826000000000001</v>
      </c>
      <c r="O244">
        <v>47.826000000000001</v>
      </c>
      <c r="P244">
        <v>52.941000000000003</v>
      </c>
      <c r="Q244">
        <v>47.826000000000001</v>
      </c>
      <c r="R244">
        <v>47.826000000000001</v>
      </c>
      <c r="S244">
        <v>0</v>
      </c>
      <c r="T244">
        <v>0</v>
      </c>
      <c r="U244">
        <v>0</v>
      </c>
      <c r="V244">
        <f t="shared" si="9"/>
        <v>40.642499999999998</v>
      </c>
      <c r="W244">
        <f t="shared" si="10"/>
        <v>37.522500000000001</v>
      </c>
      <c r="X244">
        <f t="shared" si="11"/>
        <v>36.981250000000003</v>
      </c>
      <c r="Y244">
        <v>13</v>
      </c>
      <c r="Z244" s="2" t="s">
        <v>256</v>
      </c>
    </row>
    <row r="245" spans="1:26" x14ac:dyDescent="0.25">
      <c r="A245">
        <v>396</v>
      </c>
      <c r="B245">
        <v>294</v>
      </c>
      <c r="C245" t="s">
        <v>22</v>
      </c>
      <c r="D245" t="s">
        <v>254</v>
      </c>
      <c r="E245" t="s">
        <v>27</v>
      </c>
      <c r="F245" t="s">
        <v>267</v>
      </c>
      <c r="G245" t="str">
        <f>VLOOKUP(F245,Hospitals!E:H,4,FALSE)</f>
        <v>29.38681 , 76.95277</v>
      </c>
      <c r="H245" s="1">
        <v>45464</v>
      </c>
      <c r="I245" s="1">
        <v>45464</v>
      </c>
      <c r="J245">
        <v>63.694000000000003</v>
      </c>
      <c r="K245">
        <v>60.354999999999997</v>
      </c>
      <c r="L245">
        <v>58.523000000000003</v>
      </c>
      <c r="M245">
        <v>70.587999999999994</v>
      </c>
      <c r="N245">
        <v>52.173999999999999</v>
      </c>
      <c r="O245">
        <v>52.173999999999999</v>
      </c>
      <c r="P245">
        <v>70.587999999999994</v>
      </c>
      <c r="Q245">
        <v>52.173999999999999</v>
      </c>
      <c r="R245">
        <v>52.173999999999999</v>
      </c>
      <c r="S245">
        <v>0</v>
      </c>
      <c r="T245">
        <v>0</v>
      </c>
      <c r="U245">
        <v>0</v>
      </c>
      <c r="V245">
        <f t="shared" si="9"/>
        <v>51.217499999999994</v>
      </c>
      <c r="W245">
        <f t="shared" si="10"/>
        <v>41.175750000000001</v>
      </c>
      <c r="X245">
        <f t="shared" si="11"/>
        <v>40.717750000000002</v>
      </c>
      <c r="Y245">
        <v>13</v>
      </c>
      <c r="Z245" s="2" t="s">
        <v>256</v>
      </c>
    </row>
    <row r="246" spans="1:26" x14ac:dyDescent="0.25">
      <c r="A246">
        <v>323</v>
      </c>
      <c r="B246">
        <v>295</v>
      </c>
      <c r="C246" t="s">
        <v>22</v>
      </c>
      <c r="D246" t="s">
        <v>254</v>
      </c>
      <c r="E246" t="s">
        <v>27</v>
      </c>
      <c r="F246" t="s">
        <v>268</v>
      </c>
      <c r="G246" t="str">
        <f>VLOOKUP(F246,Hospitals!E:H,4,FALSE)</f>
        <v>29.68781 , 76.99169</v>
      </c>
      <c r="H246" s="1">
        <v>45365</v>
      </c>
      <c r="I246" s="1">
        <v>45365</v>
      </c>
      <c r="J246">
        <v>38.853999999999999</v>
      </c>
      <c r="K246">
        <v>36.094999999999999</v>
      </c>
      <c r="L246">
        <v>34.658999999999999</v>
      </c>
      <c r="M246">
        <v>52.941000000000003</v>
      </c>
      <c r="N246">
        <v>39.130000000000003</v>
      </c>
      <c r="O246">
        <v>39.130000000000003</v>
      </c>
      <c r="P246">
        <v>52.941000000000003</v>
      </c>
      <c r="Q246">
        <v>39.130000000000003</v>
      </c>
      <c r="R246">
        <v>39.130000000000003</v>
      </c>
      <c r="S246">
        <v>0</v>
      </c>
      <c r="T246">
        <v>0</v>
      </c>
      <c r="U246">
        <v>0</v>
      </c>
      <c r="V246">
        <f t="shared" si="9"/>
        <v>36.183999999999997</v>
      </c>
      <c r="W246">
        <f t="shared" si="10"/>
        <v>28.588749999999997</v>
      </c>
      <c r="X246">
        <f t="shared" si="11"/>
        <v>28.229750000000003</v>
      </c>
      <c r="Y246">
        <v>13</v>
      </c>
      <c r="Z246" s="2" t="s">
        <v>256</v>
      </c>
    </row>
    <row r="247" spans="1:26" x14ac:dyDescent="0.25">
      <c r="A247">
        <v>1127</v>
      </c>
      <c r="B247">
        <v>297</v>
      </c>
      <c r="C247" t="s">
        <v>22</v>
      </c>
      <c r="D247" t="s">
        <v>254</v>
      </c>
      <c r="E247" t="s">
        <v>27</v>
      </c>
      <c r="F247" t="s">
        <v>269</v>
      </c>
      <c r="G247" t="str">
        <f>VLOOKUP(F247,Hospitals!E:H,4,FALSE)</f>
        <v>29.41072 , 77.07947</v>
      </c>
      <c r="H247" s="1">
        <v>45688</v>
      </c>
      <c r="I247" s="1">
        <v>45688</v>
      </c>
      <c r="J247">
        <v>40.764000000000003</v>
      </c>
      <c r="K247">
        <v>38.462000000000003</v>
      </c>
      <c r="L247">
        <v>36.932000000000002</v>
      </c>
      <c r="M247">
        <v>58.823999999999998</v>
      </c>
      <c r="N247">
        <v>47.826000000000001</v>
      </c>
      <c r="O247">
        <v>47.826000000000001</v>
      </c>
      <c r="P247">
        <v>58.823999999999998</v>
      </c>
      <c r="Q247">
        <v>47.826000000000001</v>
      </c>
      <c r="R247">
        <v>47.826000000000001</v>
      </c>
      <c r="S247">
        <v>0</v>
      </c>
      <c r="T247">
        <v>0</v>
      </c>
      <c r="U247">
        <v>0</v>
      </c>
      <c r="V247">
        <f t="shared" si="9"/>
        <v>39.602999999999994</v>
      </c>
      <c r="W247">
        <f t="shared" si="10"/>
        <v>33.528500000000001</v>
      </c>
      <c r="X247">
        <f t="shared" si="11"/>
        <v>33.146000000000001</v>
      </c>
      <c r="Y247">
        <v>13</v>
      </c>
      <c r="Z247" s="2" t="s">
        <v>256</v>
      </c>
    </row>
    <row r="248" spans="1:26" x14ac:dyDescent="0.25">
      <c r="A248">
        <v>757</v>
      </c>
      <c r="B248">
        <v>298</v>
      </c>
      <c r="C248" t="s">
        <v>22</v>
      </c>
      <c r="D248" t="s">
        <v>254</v>
      </c>
      <c r="E248" t="s">
        <v>27</v>
      </c>
      <c r="F248" t="s">
        <v>270</v>
      </c>
      <c r="G248" t="str">
        <f>VLOOKUP(F248,Hospitals!E:H,4,FALSE)</f>
        <v>29.75822 , 76.83316</v>
      </c>
      <c r="H248" s="1">
        <v>45434</v>
      </c>
      <c r="I248" s="1">
        <v>45440</v>
      </c>
      <c r="J248">
        <v>39.49</v>
      </c>
      <c r="K248">
        <v>36.686</v>
      </c>
      <c r="L248">
        <v>35.226999999999997</v>
      </c>
      <c r="M248">
        <v>23.529</v>
      </c>
      <c r="N248">
        <v>21.739000000000001</v>
      </c>
      <c r="O248">
        <v>21.739000000000001</v>
      </c>
      <c r="P248">
        <v>23.529</v>
      </c>
      <c r="Q248">
        <v>21.739000000000001</v>
      </c>
      <c r="R248">
        <v>21.739000000000001</v>
      </c>
      <c r="S248">
        <v>0</v>
      </c>
      <c r="T248">
        <v>0</v>
      </c>
      <c r="U248">
        <v>0</v>
      </c>
      <c r="V248">
        <f t="shared" si="9"/>
        <v>21.637</v>
      </c>
      <c r="W248">
        <f t="shared" si="10"/>
        <v>20.041</v>
      </c>
      <c r="X248">
        <f t="shared" si="11"/>
        <v>19.67625</v>
      </c>
      <c r="Y248">
        <v>13</v>
      </c>
      <c r="Z248" s="2" t="s">
        <v>256</v>
      </c>
    </row>
    <row r="249" spans="1:26" x14ac:dyDescent="0.25">
      <c r="A249">
        <v>774</v>
      </c>
      <c r="B249">
        <v>299</v>
      </c>
      <c r="C249" t="s">
        <v>22</v>
      </c>
      <c r="D249" t="s">
        <v>254</v>
      </c>
      <c r="E249" t="s">
        <v>27</v>
      </c>
      <c r="F249" t="s">
        <v>271</v>
      </c>
      <c r="G249" t="str">
        <f>VLOOKUP(F249,Hospitals!E:H,4,FALSE)</f>
        <v>30.41403 , 76.66437</v>
      </c>
      <c r="H249" s="1">
        <v>45443</v>
      </c>
      <c r="I249" s="1">
        <v>45443</v>
      </c>
      <c r="J249">
        <v>50.954999999999998</v>
      </c>
      <c r="K249">
        <v>47.337000000000003</v>
      </c>
      <c r="L249">
        <v>45.454999999999998</v>
      </c>
      <c r="M249">
        <v>29.411999999999999</v>
      </c>
      <c r="N249">
        <v>21.739000000000001</v>
      </c>
      <c r="O249">
        <v>21.739000000000001</v>
      </c>
      <c r="P249">
        <v>29.411999999999999</v>
      </c>
      <c r="Q249">
        <v>21.739000000000001</v>
      </c>
      <c r="R249">
        <v>21.739000000000001</v>
      </c>
      <c r="S249">
        <v>0</v>
      </c>
      <c r="T249">
        <v>0</v>
      </c>
      <c r="U249">
        <v>0</v>
      </c>
      <c r="V249">
        <f t="shared" si="9"/>
        <v>27.444749999999999</v>
      </c>
      <c r="W249">
        <f t="shared" si="10"/>
        <v>22.703750000000003</v>
      </c>
      <c r="X249">
        <f t="shared" si="11"/>
        <v>22.233250000000002</v>
      </c>
      <c r="Y249">
        <v>13</v>
      </c>
      <c r="Z249" s="2" t="s">
        <v>256</v>
      </c>
    </row>
    <row r="250" spans="1:26" x14ac:dyDescent="0.25">
      <c r="A250">
        <v>776</v>
      </c>
      <c r="B250">
        <v>299</v>
      </c>
      <c r="C250" t="s">
        <v>22</v>
      </c>
      <c r="D250" t="s">
        <v>254</v>
      </c>
      <c r="E250" t="s">
        <v>27</v>
      </c>
      <c r="F250" t="s">
        <v>271</v>
      </c>
      <c r="G250" t="str">
        <f>VLOOKUP(F250,Hospitals!E:H,4,FALSE)</f>
        <v>30.41403 , 76.66437</v>
      </c>
      <c r="H250" s="1">
        <v>45443</v>
      </c>
      <c r="I250" t="s">
        <v>35</v>
      </c>
      <c r="J250">
        <v>50.954999999999998</v>
      </c>
      <c r="K250">
        <v>47.337000000000003</v>
      </c>
      <c r="L250">
        <v>45.454999999999998</v>
      </c>
      <c r="M250">
        <v>29.411999999999999</v>
      </c>
      <c r="N250">
        <v>21.739000000000001</v>
      </c>
      <c r="O250">
        <v>21.739000000000001</v>
      </c>
      <c r="P250">
        <v>29.411999999999999</v>
      </c>
      <c r="Q250">
        <v>21.739000000000001</v>
      </c>
      <c r="R250">
        <v>21.739000000000001</v>
      </c>
      <c r="S250">
        <v>0</v>
      </c>
      <c r="T250">
        <v>0</v>
      </c>
      <c r="U250">
        <v>0</v>
      </c>
      <c r="V250">
        <f t="shared" si="9"/>
        <v>27.444749999999999</v>
      </c>
      <c r="W250">
        <f t="shared" si="10"/>
        <v>22.703750000000003</v>
      </c>
      <c r="X250">
        <f t="shared" si="11"/>
        <v>22.233250000000002</v>
      </c>
      <c r="Y250">
        <v>13</v>
      </c>
      <c r="Z250" s="2" t="s">
        <v>256</v>
      </c>
    </row>
    <row r="251" spans="1:26" x14ac:dyDescent="0.25">
      <c r="A251">
        <v>918</v>
      </c>
      <c r="B251">
        <v>3</v>
      </c>
      <c r="C251" t="s">
        <v>22</v>
      </c>
      <c r="D251" t="s">
        <v>23</v>
      </c>
      <c r="E251" t="s">
        <v>24</v>
      </c>
      <c r="F251" t="s">
        <v>272</v>
      </c>
      <c r="G251" t="str">
        <f>VLOOKUP(F251,Hospitals!E:H,4,FALSE)</f>
        <v>30.28108 , 76.69543</v>
      </c>
      <c r="H251" s="1">
        <v>45497</v>
      </c>
      <c r="I251" s="1">
        <v>45497</v>
      </c>
      <c r="J251">
        <v>45.86</v>
      </c>
      <c r="K251">
        <v>43.195</v>
      </c>
      <c r="L251">
        <v>41.476999999999997</v>
      </c>
      <c r="M251">
        <v>47.058999999999997</v>
      </c>
      <c r="N251">
        <v>39.130000000000003</v>
      </c>
      <c r="O251">
        <v>39.130000000000003</v>
      </c>
      <c r="P251">
        <v>47.058999999999997</v>
      </c>
      <c r="Q251">
        <v>39.130000000000003</v>
      </c>
      <c r="R251">
        <v>39.130000000000003</v>
      </c>
      <c r="S251">
        <v>0</v>
      </c>
      <c r="T251">
        <v>0</v>
      </c>
      <c r="U251">
        <v>0</v>
      </c>
      <c r="V251">
        <f t="shared" si="9"/>
        <v>34.994500000000002</v>
      </c>
      <c r="W251">
        <f t="shared" si="10"/>
        <v>30.363750000000003</v>
      </c>
      <c r="X251">
        <f t="shared" si="11"/>
        <v>29.934249999999999</v>
      </c>
      <c r="Y251">
        <v>13</v>
      </c>
      <c r="Z251" s="2" t="s">
        <v>26</v>
      </c>
    </row>
    <row r="252" spans="1:26" x14ac:dyDescent="0.25">
      <c r="A252">
        <v>926</v>
      </c>
      <c r="B252">
        <v>3</v>
      </c>
      <c r="C252" t="s">
        <v>22</v>
      </c>
      <c r="D252" t="s">
        <v>23</v>
      </c>
      <c r="E252" t="s">
        <v>24</v>
      </c>
      <c r="F252" t="s">
        <v>272</v>
      </c>
      <c r="G252" t="str">
        <f>VLOOKUP(F252,Hospitals!E:H,4,FALSE)</f>
        <v>30.28108 , 76.69543</v>
      </c>
      <c r="H252" s="1">
        <v>45497</v>
      </c>
      <c r="I252" t="s">
        <v>35</v>
      </c>
      <c r="J252">
        <v>45.86</v>
      </c>
      <c r="K252">
        <v>43.195</v>
      </c>
      <c r="L252">
        <v>41.476999999999997</v>
      </c>
      <c r="M252">
        <v>47.058999999999997</v>
      </c>
      <c r="N252">
        <v>39.130000000000003</v>
      </c>
      <c r="O252">
        <v>39.130000000000003</v>
      </c>
      <c r="P252">
        <v>47.058999999999997</v>
      </c>
      <c r="Q252">
        <v>39.130000000000003</v>
      </c>
      <c r="R252">
        <v>39.130000000000003</v>
      </c>
      <c r="S252">
        <v>0</v>
      </c>
      <c r="T252">
        <v>0</v>
      </c>
      <c r="U252">
        <v>0</v>
      </c>
      <c r="V252">
        <f t="shared" si="9"/>
        <v>34.994500000000002</v>
      </c>
      <c r="W252">
        <f t="shared" si="10"/>
        <v>30.363750000000003</v>
      </c>
      <c r="X252">
        <f t="shared" si="11"/>
        <v>29.934249999999999</v>
      </c>
      <c r="Y252">
        <v>13</v>
      </c>
      <c r="Z252" s="2" t="s">
        <v>26</v>
      </c>
    </row>
    <row r="253" spans="1:26" x14ac:dyDescent="0.25">
      <c r="A253">
        <v>924</v>
      </c>
      <c r="B253">
        <v>30</v>
      </c>
      <c r="C253" t="s">
        <v>22</v>
      </c>
      <c r="D253" t="s">
        <v>23</v>
      </c>
      <c r="E253" t="s">
        <v>30</v>
      </c>
      <c r="F253" t="s">
        <v>273</v>
      </c>
      <c r="G253" t="str">
        <f>VLOOKUP(F253,Hospitals!E:H,4,FALSE)</f>
        <v>30.32993 , 76.83749</v>
      </c>
      <c r="H253" s="1">
        <v>45509</v>
      </c>
      <c r="I253" s="1">
        <v>45509</v>
      </c>
      <c r="J253">
        <v>87.260999999999996</v>
      </c>
      <c r="K253">
        <v>88.165999999999997</v>
      </c>
      <c r="L253">
        <v>88.067999999999998</v>
      </c>
      <c r="M253">
        <v>82.352999999999994</v>
      </c>
      <c r="N253">
        <v>78.260999999999996</v>
      </c>
      <c r="O253">
        <v>78.260999999999996</v>
      </c>
      <c r="P253">
        <v>82.352999999999994</v>
      </c>
      <c r="Q253">
        <v>78.260999999999996</v>
      </c>
      <c r="R253">
        <v>78.260999999999996</v>
      </c>
      <c r="S253">
        <v>60</v>
      </c>
      <c r="T253">
        <v>58.332999999999998</v>
      </c>
      <c r="U253">
        <v>57.143000000000001</v>
      </c>
      <c r="V253">
        <f t="shared" si="9"/>
        <v>77.991749999999996</v>
      </c>
      <c r="W253">
        <f t="shared" si="10"/>
        <v>75.75524999999999</v>
      </c>
      <c r="X253">
        <f t="shared" si="11"/>
        <v>75.433250000000001</v>
      </c>
      <c r="Y253">
        <v>13</v>
      </c>
      <c r="Z253" s="2" t="s">
        <v>26</v>
      </c>
    </row>
    <row r="254" spans="1:26" x14ac:dyDescent="0.25">
      <c r="A254">
        <v>1155</v>
      </c>
      <c r="B254">
        <v>300</v>
      </c>
      <c r="C254" t="s">
        <v>22</v>
      </c>
      <c r="D254" t="s">
        <v>254</v>
      </c>
      <c r="E254" t="s">
        <v>27</v>
      </c>
      <c r="F254" t="s">
        <v>274</v>
      </c>
      <c r="G254" t="str">
        <f>VLOOKUP(F254,Hospitals!E:H,4,FALSE)</f>
        <v>28.99308 , 77.01507</v>
      </c>
      <c r="H254" s="1">
        <v>45687</v>
      </c>
      <c r="I254" s="1">
        <v>45687</v>
      </c>
      <c r="J254">
        <v>13.375999999999999</v>
      </c>
      <c r="K254">
        <v>12.426</v>
      </c>
      <c r="L254">
        <v>11.932</v>
      </c>
      <c r="M254">
        <v>5.8819999999999997</v>
      </c>
      <c r="N254">
        <v>4.3479999999999999</v>
      </c>
      <c r="O254">
        <v>4.3479999999999999</v>
      </c>
      <c r="P254">
        <v>5.8819999999999997</v>
      </c>
      <c r="Q254">
        <v>4.3479999999999999</v>
      </c>
      <c r="R254">
        <v>4.3479999999999999</v>
      </c>
      <c r="S254">
        <v>0</v>
      </c>
      <c r="T254">
        <v>0</v>
      </c>
      <c r="U254">
        <v>0</v>
      </c>
      <c r="V254">
        <f t="shared" si="9"/>
        <v>6.2850000000000001</v>
      </c>
      <c r="W254">
        <f t="shared" si="10"/>
        <v>5.2805</v>
      </c>
      <c r="X254">
        <f t="shared" si="11"/>
        <v>5.157</v>
      </c>
      <c r="Y254">
        <v>13</v>
      </c>
      <c r="Z254" s="2" t="s">
        <v>256</v>
      </c>
    </row>
    <row r="255" spans="1:26" x14ac:dyDescent="0.25">
      <c r="A255">
        <v>813</v>
      </c>
      <c r="B255">
        <v>301</v>
      </c>
      <c r="C255" t="s">
        <v>22</v>
      </c>
      <c r="D255" t="s">
        <v>254</v>
      </c>
      <c r="E255" t="s">
        <v>27</v>
      </c>
      <c r="F255" t="s">
        <v>275</v>
      </c>
      <c r="G255" t="str">
        <f>VLOOKUP(F255,Hospitals!E:H,4,FALSE)</f>
        <v>29.77552 , 76.41003</v>
      </c>
      <c r="H255" s="1">
        <v>45687</v>
      </c>
      <c r="I255" s="1">
        <v>45687</v>
      </c>
      <c r="J255">
        <v>40.764000000000003</v>
      </c>
      <c r="K255">
        <v>37.869999999999997</v>
      </c>
      <c r="L255">
        <v>36.363999999999997</v>
      </c>
      <c r="M255">
        <v>41.176000000000002</v>
      </c>
      <c r="N255">
        <v>30.434999999999999</v>
      </c>
      <c r="O255">
        <v>30.434999999999999</v>
      </c>
      <c r="P255">
        <v>41.176000000000002</v>
      </c>
      <c r="Q255">
        <v>30.434999999999999</v>
      </c>
      <c r="R255">
        <v>30.434999999999999</v>
      </c>
      <c r="S255">
        <v>0</v>
      </c>
      <c r="T255">
        <v>0</v>
      </c>
      <c r="U255">
        <v>0</v>
      </c>
      <c r="V255">
        <f t="shared" si="9"/>
        <v>30.779</v>
      </c>
      <c r="W255">
        <f t="shared" si="10"/>
        <v>24.684999999999999</v>
      </c>
      <c r="X255">
        <f t="shared" si="11"/>
        <v>24.308499999999999</v>
      </c>
      <c r="Y255">
        <v>13</v>
      </c>
      <c r="Z255" s="2" t="s">
        <v>256</v>
      </c>
    </row>
    <row r="256" spans="1:26" x14ac:dyDescent="0.25">
      <c r="A256">
        <v>811</v>
      </c>
      <c r="B256">
        <v>302</v>
      </c>
      <c r="C256" t="s">
        <v>22</v>
      </c>
      <c r="D256" t="s">
        <v>254</v>
      </c>
      <c r="E256" t="s">
        <v>27</v>
      </c>
      <c r="F256" t="s">
        <v>276</v>
      </c>
      <c r="G256" t="str">
        <f>VLOOKUP(F256,Hospitals!E:H,4,FALSE)</f>
        <v>29.65155 , 76.8691</v>
      </c>
      <c r="H256" s="1">
        <v>45674</v>
      </c>
      <c r="I256" s="1">
        <v>45674</v>
      </c>
      <c r="J256">
        <v>28.024999999999999</v>
      </c>
      <c r="K256">
        <v>26.036000000000001</v>
      </c>
      <c r="L256">
        <v>25</v>
      </c>
      <c r="M256">
        <v>29.411999999999999</v>
      </c>
      <c r="N256">
        <v>21.739000000000001</v>
      </c>
      <c r="O256">
        <v>21.739000000000001</v>
      </c>
      <c r="P256">
        <v>29.411999999999999</v>
      </c>
      <c r="Q256">
        <v>21.739000000000001</v>
      </c>
      <c r="R256">
        <v>21.739000000000001</v>
      </c>
      <c r="S256">
        <v>0</v>
      </c>
      <c r="T256">
        <v>0</v>
      </c>
      <c r="U256">
        <v>0</v>
      </c>
      <c r="V256">
        <f t="shared" si="9"/>
        <v>21.712249999999997</v>
      </c>
      <c r="W256">
        <f t="shared" si="10"/>
        <v>17.378500000000003</v>
      </c>
      <c r="X256">
        <f t="shared" si="11"/>
        <v>17.119500000000002</v>
      </c>
      <c r="Y256">
        <v>13</v>
      </c>
      <c r="Z256" s="2" t="s">
        <v>256</v>
      </c>
    </row>
    <row r="257" spans="1:26" x14ac:dyDescent="0.25">
      <c r="A257">
        <v>681</v>
      </c>
      <c r="B257">
        <v>303</v>
      </c>
      <c r="C257" t="s">
        <v>22</v>
      </c>
      <c r="D257" t="s">
        <v>254</v>
      </c>
      <c r="E257" t="s">
        <v>27</v>
      </c>
      <c r="F257" t="s">
        <v>277</v>
      </c>
      <c r="G257" t="str">
        <f>VLOOKUP(F257,Hospitals!E:H,4,FALSE)</f>
        <v>29.53052 , 76.62141</v>
      </c>
      <c r="H257" s="1">
        <v>45440</v>
      </c>
      <c r="I257" s="1">
        <v>45440</v>
      </c>
      <c r="J257">
        <v>54.14</v>
      </c>
      <c r="K257">
        <v>50.887999999999998</v>
      </c>
      <c r="L257">
        <v>48.863999999999997</v>
      </c>
      <c r="M257">
        <v>41.176000000000002</v>
      </c>
      <c r="N257">
        <v>34.783000000000001</v>
      </c>
      <c r="O257">
        <v>34.783000000000001</v>
      </c>
      <c r="P257">
        <v>41.176000000000002</v>
      </c>
      <c r="Q257">
        <v>34.783000000000001</v>
      </c>
      <c r="R257">
        <v>34.783000000000001</v>
      </c>
      <c r="S257">
        <v>0</v>
      </c>
      <c r="T257">
        <v>0</v>
      </c>
      <c r="U257">
        <v>0</v>
      </c>
      <c r="V257">
        <f t="shared" si="9"/>
        <v>34.123000000000005</v>
      </c>
      <c r="W257">
        <f t="shared" si="10"/>
        <v>30.113499999999998</v>
      </c>
      <c r="X257">
        <f t="shared" si="11"/>
        <v>29.607499999999998</v>
      </c>
      <c r="Y257">
        <v>13</v>
      </c>
      <c r="Z257" s="2" t="s">
        <v>256</v>
      </c>
    </row>
    <row r="258" spans="1:26" x14ac:dyDescent="0.25">
      <c r="A258">
        <v>361</v>
      </c>
      <c r="B258">
        <v>304</v>
      </c>
      <c r="C258" t="s">
        <v>22</v>
      </c>
      <c r="D258" t="s">
        <v>254</v>
      </c>
      <c r="E258" t="s">
        <v>27</v>
      </c>
      <c r="F258" t="s">
        <v>278</v>
      </c>
      <c r="G258" t="str">
        <f>VLOOKUP(F258,Hospitals!E:H,4,FALSE)</f>
        <v>29.77552 , 76.41003</v>
      </c>
      <c r="H258" s="1">
        <v>45470</v>
      </c>
      <c r="I258" t="s">
        <v>35</v>
      </c>
      <c r="J258">
        <v>0</v>
      </c>
      <c r="K258">
        <v>0</v>
      </c>
      <c r="L258">
        <v>0</v>
      </c>
      <c r="M258">
        <v>47.058999999999997</v>
      </c>
      <c r="N258">
        <v>34.783000000000001</v>
      </c>
      <c r="O258">
        <v>34.783000000000001</v>
      </c>
      <c r="P258">
        <v>47.058999999999997</v>
      </c>
      <c r="Q258">
        <v>34.783000000000001</v>
      </c>
      <c r="R258">
        <v>34.783000000000001</v>
      </c>
      <c r="S258">
        <v>0</v>
      </c>
      <c r="T258">
        <v>0</v>
      </c>
      <c r="U258">
        <v>0</v>
      </c>
      <c r="V258">
        <f t="shared" si="9"/>
        <v>23.529499999999999</v>
      </c>
      <c r="W258">
        <f t="shared" si="10"/>
        <v>17.391500000000001</v>
      </c>
      <c r="X258">
        <f t="shared" si="11"/>
        <v>17.391500000000001</v>
      </c>
      <c r="Y258">
        <v>13</v>
      </c>
      <c r="Z258" s="2" t="s">
        <v>256</v>
      </c>
    </row>
    <row r="259" spans="1:26" x14ac:dyDescent="0.25">
      <c r="A259">
        <v>810</v>
      </c>
      <c r="B259">
        <v>305</v>
      </c>
      <c r="C259" t="s">
        <v>22</v>
      </c>
      <c r="D259" t="s">
        <v>254</v>
      </c>
      <c r="E259" t="s">
        <v>27</v>
      </c>
      <c r="F259" t="s">
        <v>279</v>
      </c>
      <c r="G259" t="str">
        <f>VLOOKUP(F259,Hospitals!E:H,4,FALSE)</f>
        <v>29.78611 , 76.42808</v>
      </c>
      <c r="H259" s="1">
        <v>45677</v>
      </c>
      <c r="I259" s="1">
        <v>45677</v>
      </c>
      <c r="J259">
        <v>50.317999999999998</v>
      </c>
      <c r="K259">
        <v>46.746000000000002</v>
      </c>
      <c r="L259">
        <v>44.886000000000003</v>
      </c>
      <c r="M259">
        <v>58.823999999999998</v>
      </c>
      <c r="N259">
        <v>43.478000000000002</v>
      </c>
      <c r="O259">
        <v>43.478000000000002</v>
      </c>
      <c r="P259">
        <v>58.823999999999998</v>
      </c>
      <c r="Q259">
        <v>43.478000000000002</v>
      </c>
      <c r="R259">
        <v>43.478000000000002</v>
      </c>
      <c r="S259">
        <v>0</v>
      </c>
      <c r="T259">
        <v>0</v>
      </c>
      <c r="U259">
        <v>0</v>
      </c>
      <c r="V259">
        <f t="shared" ref="V259:V322" si="12">AVERAGE(J259,M259,P259,S259)</f>
        <v>41.991500000000002</v>
      </c>
      <c r="W259">
        <f t="shared" ref="W259:W322" si="13">AVERAGE(K259,N259,Q259,T259)</f>
        <v>33.4255</v>
      </c>
      <c r="X259">
        <f t="shared" ref="X259:X322" si="14">AVERAGE(L259,O259,R259,U259)</f>
        <v>32.960500000000003</v>
      </c>
      <c r="Y259">
        <v>13</v>
      </c>
      <c r="Z259" s="2" t="s">
        <v>256</v>
      </c>
    </row>
    <row r="260" spans="1:26" x14ac:dyDescent="0.25">
      <c r="A260">
        <v>676</v>
      </c>
      <c r="B260">
        <v>309</v>
      </c>
      <c r="C260" t="s">
        <v>22</v>
      </c>
      <c r="D260" t="s">
        <v>254</v>
      </c>
      <c r="E260" t="s">
        <v>30</v>
      </c>
      <c r="F260" t="s">
        <v>280</v>
      </c>
      <c r="G260" t="e">
        <f>VLOOKUP(F260,Hospitals!E:H,4,FALSE)</f>
        <v>#N/A</v>
      </c>
      <c r="H260" s="1">
        <v>45442</v>
      </c>
      <c r="I260" t="s">
        <v>35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f t="shared" si="12"/>
        <v>0</v>
      </c>
      <c r="W260">
        <f t="shared" si="13"/>
        <v>0</v>
      </c>
      <c r="X260">
        <f t="shared" si="14"/>
        <v>0</v>
      </c>
      <c r="Y260">
        <v>13</v>
      </c>
      <c r="Z260" s="2" t="s">
        <v>256</v>
      </c>
    </row>
    <row r="261" spans="1:26" x14ac:dyDescent="0.25">
      <c r="A261">
        <v>692</v>
      </c>
      <c r="B261">
        <v>311</v>
      </c>
      <c r="C261" t="s">
        <v>22</v>
      </c>
      <c r="D261" t="s">
        <v>254</v>
      </c>
      <c r="E261" t="s">
        <v>30</v>
      </c>
      <c r="F261" t="s">
        <v>281</v>
      </c>
      <c r="G261" t="str">
        <f>VLOOKUP(F261,Hospitals!E:H,4,FALSE)</f>
        <v>29.68569 , 76.97582</v>
      </c>
      <c r="H261" s="1">
        <v>45418</v>
      </c>
      <c r="I261" t="s">
        <v>35</v>
      </c>
      <c r="J261">
        <v>40.127000000000002</v>
      </c>
      <c r="K261">
        <v>39.645000000000003</v>
      </c>
      <c r="L261">
        <v>38.636000000000003</v>
      </c>
      <c r="M261">
        <v>76.471000000000004</v>
      </c>
      <c r="N261">
        <v>69.564999999999998</v>
      </c>
      <c r="O261">
        <v>69.564999999999998</v>
      </c>
      <c r="P261">
        <v>76.471000000000004</v>
      </c>
      <c r="Q261">
        <v>69.564999999999998</v>
      </c>
      <c r="R261">
        <v>69.564999999999998</v>
      </c>
      <c r="S261">
        <v>20</v>
      </c>
      <c r="T261">
        <v>8.3330000000000002</v>
      </c>
      <c r="U261">
        <v>7.1429999999999998</v>
      </c>
      <c r="V261">
        <f t="shared" si="12"/>
        <v>53.267250000000004</v>
      </c>
      <c r="W261">
        <f t="shared" si="13"/>
        <v>46.777000000000001</v>
      </c>
      <c r="X261">
        <f t="shared" si="14"/>
        <v>46.227249999999998</v>
      </c>
      <c r="Y261">
        <v>13</v>
      </c>
      <c r="Z261" s="2" t="s">
        <v>256</v>
      </c>
    </row>
    <row r="262" spans="1:26" x14ac:dyDescent="0.25">
      <c r="A262">
        <v>685</v>
      </c>
      <c r="B262">
        <v>315</v>
      </c>
      <c r="C262" t="s">
        <v>22</v>
      </c>
      <c r="D262" t="s">
        <v>254</v>
      </c>
      <c r="E262" t="s">
        <v>30</v>
      </c>
      <c r="F262" t="s">
        <v>282</v>
      </c>
      <c r="G262" t="str">
        <f>VLOOKUP(F262,Hospitals!E:H,4,FALSE)</f>
        <v>29.68781 , 76.99825</v>
      </c>
      <c r="H262" s="1">
        <v>45416</v>
      </c>
      <c r="I262" s="1">
        <v>45416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f t="shared" si="12"/>
        <v>0</v>
      </c>
      <c r="W262">
        <f t="shared" si="13"/>
        <v>0</v>
      </c>
      <c r="X262">
        <f t="shared" si="14"/>
        <v>0</v>
      </c>
      <c r="Y262">
        <v>13</v>
      </c>
      <c r="Z262" s="2" t="s">
        <v>256</v>
      </c>
    </row>
    <row r="263" spans="1:26" x14ac:dyDescent="0.25">
      <c r="A263">
        <v>324</v>
      </c>
      <c r="B263">
        <v>315</v>
      </c>
      <c r="C263" t="s">
        <v>22</v>
      </c>
      <c r="D263" t="s">
        <v>254</v>
      </c>
      <c r="E263" t="s">
        <v>30</v>
      </c>
      <c r="F263" t="s">
        <v>282</v>
      </c>
      <c r="G263" t="str">
        <f>VLOOKUP(F263,Hospitals!E:H,4,FALSE)</f>
        <v>29.68781 , 76.99825</v>
      </c>
      <c r="H263" s="1">
        <v>45416</v>
      </c>
      <c r="I263" s="1">
        <v>45416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f t="shared" si="12"/>
        <v>0</v>
      </c>
      <c r="W263">
        <f t="shared" si="13"/>
        <v>0</v>
      </c>
      <c r="X263">
        <f t="shared" si="14"/>
        <v>0</v>
      </c>
      <c r="Y263">
        <v>13</v>
      </c>
      <c r="Z263" s="2" t="s">
        <v>256</v>
      </c>
    </row>
    <row r="264" spans="1:26" x14ac:dyDescent="0.25">
      <c r="A264">
        <v>362</v>
      </c>
      <c r="B264">
        <v>320</v>
      </c>
      <c r="C264" t="s">
        <v>22</v>
      </c>
      <c r="D264" t="s">
        <v>254</v>
      </c>
      <c r="E264" t="s">
        <v>30</v>
      </c>
      <c r="F264" t="s">
        <v>283</v>
      </c>
      <c r="G264" t="str">
        <f>VLOOKUP(F264,Hospitals!E:H,4,FALSE)</f>
        <v>29.68781 , 76.99497</v>
      </c>
      <c r="H264" s="1">
        <v>45411</v>
      </c>
      <c r="I264" s="1">
        <v>45411</v>
      </c>
      <c r="J264">
        <v>98.725999999999999</v>
      </c>
      <c r="K264">
        <v>98.224999999999994</v>
      </c>
      <c r="L264">
        <v>96.590999999999994</v>
      </c>
      <c r="M264">
        <v>88.234999999999999</v>
      </c>
      <c r="N264">
        <v>82.608999999999995</v>
      </c>
      <c r="O264">
        <v>82.608999999999995</v>
      </c>
      <c r="P264">
        <v>88.234999999999999</v>
      </c>
      <c r="Q264">
        <v>82.608999999999995</v>
      </c>
      <c r="R264">
        <v>82.608999999999995</v>
      </c>
      <c r="S264">
        <v>20</v>
      </c>
      <c r="T264">
        <v>16.667000000000002</v>
      </c>
      <c r="U264">
        <v>0</v>
      </c>
      <c r="V264">
        <f t="shared" si="12"/>
        <v>73.799000000000007</v>
      </c>
      <c r="W264">
        <f t="shared" si="13"/>
        <v>70.027500000000003</v>
      </c>
      <c r="X264">
        <f t="shared" si="14"/>
        <v>65.452249999999992</v>
      </c>
      <c r="Y264">
        <v>13</v>
      </c>
      <c r="Z264" s="2" t="s">
        <v>256</v>
      </c>
    </row>
    <row r="265" spans="1:26" x14ac:dyDescent="0.25">
      <c r="A265">
        <v>680</v>
      </c>
      <c r="B265">
        <v>323</v>
      </c>
      <c r="C265" t="s">
        <v>22</v>
      </c>
      <c r="D265" t="s">
        <v>254</v>
      </c>
      <c r="E265" t="s">
        <v>30</v>
      </c>
      <c r="F265" t="s">
        <v>284</v>
      </c>
      <c r="G265" t="str">
        <f>VLOOKUP(F265,Hospitals!E:H,4,FALSE)</f>
        <v>29.61702 , 76.97582</v>
      </c>
      <c r="H265" s="1">
        <v>45415</v>
      </c>
      <c r="I265" s="1">
        <v>45415</v>
      </c>
      <c r="J265">
        <v>92.994</v>
      </c>
      <c r="K265">
        <v>91.123999999999995</v>
      </c>
      <c r="L265">
        <v>88.635999999999996</v>
      </c>
      <c r="M265">
        <v>100</v>
      </c>
      <c r="N265">
        <v>95.652000000000001</v>
      </c>
      <c r="O265">
        <v>95.652000000000001</v>
      </c>
      <c r="P265">
        <v>100</v>
      </c>
      <c r="Q265">
        <v>95.652000000000001</v>
      </c>
      <c r="R265">
        <v>95.652000000000001</v>
      </c>
      <c r="S265">
        <v>20</v>
      </c>
      <c r="T265">
        <v>25</v>
      </c>
      <c r="U265">
        <v>14.286</v>
      </c>
      <c r="V265">
        <f t="shared" si="12"/>
        <v>78.248500000000007</v>
      </c>
      <c r="W265">
        <f t="shared" si="13"/>
        <v>76.856999999999999</v>
      </c>
      <c r="X265">
        <f t="shared" si="14"/>
        <v>73.5565</v>
      </c>
      <c r="Y265">
        <v>13</v>
      </c>
      <c r="Z265" s="2" t="s">
        <v>256</v>
      </c>
    </row>
    <row r="266" spans="1:26" x14ac:dyDescent="0.25">
      <c r="A266">
        <v>706</v>
      </c>
      <c r="B266">
        <v>325</v>
      </c>
      <c r="C266" t="s">
        <v>22</v>
      </c>
      <c r="D266" t="s">
        <v>254</v>
      </c>
      <c r="E266" t="s">
        <v>30</v>
      </c>
      <c r="F266" t="s">
        <v>285</v>
      </c>
      <c r="G266" t="str">
        <f>VLOOKUP(F266,Hospitals!E:H,4,FALSE)</f>
        <v>29.6825 , 76.99652</v>
      </c>
      <c r="H266" s="1">
        <v>45421</v>
      </c>
      <c r="I266" s="1">
        <v>45421</v>
      </c>
      <c r="J266">
        <v>80.891999999999996</v>
      </c>
      <c r="K266">
        <v>77.515000000000001</v>
      </c>
      <c r="L266">
        <v>74.432000000000002</v>
      </c>
      <c r="M266">
        <v>58.823999999999998</v>
      </c>
      <c r="N266">
        <v>52.173999999999999</v>
      </c>
      <c r="O266">
        <v>52.173999999999999</v>
      </c>
      <c r="P266">
        <v>58.823999999999998</v>
      </c>
      <c r="Q266">
        <v>52.173999999999999</v>
      </c>
      <c r="R266">
        <v>52.173999999999999</v>
      </c>
      <c r="S266">
        <v>30</v>
      </c>
      <c r="T266">
        <v>8.3330000000000002</v>
      </c>
      <c r="U266">
        <v>0</v>
      </c>
      <c r="V266">
        <f t="shared" si="12"/>
        <v>57.135000000000005</v>
      </c>
      <c r="W266">
        <f t="shared" si="13"/>
        <v>47.548999999999999</v>
      </c>
      <c r="X266">
        <f t="shared" si="14"/>
        <v>44.695</v>
      </c>
      <c r="Y266">
        <v>13</v>
      </c>
      <c r="Z266" s="2" t="s">
        <v>256</v>
      </c>
    </row>
    <row r="267" spans="1:26" x14ac:dyDescent="0.25">
      <c r="A267">
        <v>683</v>
      </c>
      <c r="B267">
        <v>326</v>
      </c>
      <c r="C267" t="s">
        <v>22</v>
      </c>
      <c r="D267" t="s">
        <v>254</v>
      </c>
      <c r="E267" t="s">
        <v>30</v>
      </c>
      <c r="F267" t="s">
        <v>286</v>
      </c>
      <c r="G267" t="str">
        <f>VLOOKUP(F267,Hospitals!E:H,4,FALSE)</f>
        <v>28.96691 , 77.02446</v>
      </c>
      <c r="H267" s="1">
        <v>45415</v>
      </c>
      <c r="I267" s="1">
        <v>45415</v>
      </c>
      <c r="J267">
        <v>100</v>
      </c>
      <c r="K267">
        <v>99.408000000000001</v>
      </c>
      <c r="L267">
        <v>99.432000000000002</v>
      </c>
      <c r="M267">
        <v>100</v>
      </c>
      <c r="N267">
        <v>91.304000000000002</v>
      </c>
      <c r="O267">
        <v>91.304000000000002</v>
      </c>
      <c r="P267">
        <v>100</v>
      </c>
      <c r="Q267">
        <v>91.304000000000002</v>
      </c>
      <c r="R267">
        <v>91.304000000000002</v>
      </c>
      <c r="S267">
        <v>50</v>
      </c>
      <c r="T267">
        <v>41.667000000000002</v>
      </c>
      <c r="U267">
        <v>21.428999999999998</v>
      </c>
      <c r="V267">
        <f t="shared" si="12"/>
        <v>87.5</v>
      </c>
      <c r="W267">
        <f t="shared" si="13"/>
        <v>80.920749999999998</v>
      </c>
      <c r="X267">
        <f t="shared" si="14"/>
        <v>75.867249999999984</v>
      </c>
      <c r="Y267">
        <v>13</v>
      </c>
      <c r="Z267" s="2" t="s">
        <v>256</v>
      </c>
    </row>
    <row r="268" spans="1:26" x14ac:dyDescent="0.25">
      <c r="A268">
        <v>684</v>
      </c>
      <c r="B268">
        <v>326</v>
      </c>
      <c r="C268" t="s">
        <v>22</v>
      </c>
      <c r="D268" t="s">
        <v>254</v>
      </c>
      <c r="E268" t="s">
        <v>30</v>
      </c>
      <c r="F268" t="s">
        <v>286</v>
      </c>
      <c r="G268" t="str">
        <f>VLOOKUP(F268,Hospitals!E:H,4,FALSE)</f>
        <v>28.96691 , 77.02446</v>
      </c>
      <c r="H268" s="1">
        <v>45415</v>
      </c>
      <c r="I268" s="1">
        <v>45415</v>
      </c>
      <c r="J268">
        <v>100</v>
      </c>
      <c r="K268">
        <v>99.408000000000001</v>
      </c>
      <c r="L268">
        <v>99.432000000000002</v>
      </c>
      <c r="M268">
        <v>100</v>
      </c>
      <c r="N268">
        <v>91.304000000000002</v>
      </c>
      <c r="O268">
        <v>91.304000000000002</v>
      </c>
      <c r="P268">
        <v>100</v>
      </c>
      <c r="Q268">
        <v>91.304000000000002</v>
      </c>
      <c r="R268">
        <v>91.304000000000002</v>
      </c>
      <c r="S268">
        <v>50</v>
      </c>
      <c r="T268">
        <v>41.667000000000002</v>
      </c>
      <c r="U268">
        <v>21.428999999999998</v>
      </c>
      <c r="V268">
        <f t="shared" si="12"/>
        <v>87.5</v>
      </c>
      <c r="W268">
        <f t="shared" si="13"/>
        <v>80.920749999999998</v>
      </c>
      <c r="X268">
        <f t="shared" si="14"/>
        <v>75.867249999999984</v>
      </c>
      <c r="Y268">
        <v>13</v>
      </c>
      <c r="Z268" s="2" t="s">
        <v>256</v>
      </c>
    </row>
    <row r="269" spans="1:26" x14ac:dyDescent="0.25">
      <c r="A269">
        <v>677</v>
      </c>
      <c r="B269">
        <v>328</v>
      </c>
      <c r="C269" t="s">
        <v>22</v>
      </c>
      <c r="D269" t="s">
        <v>254</v>
      </c>
      <c r="E269" t="s">
        <v>30</v>
      </c>
      <c r="F269" t="s">
        <v>287</v>
      </c>
      <c r="G269" t="str">
        <f>VLOOKUP(F269,Hospitals!E:H,4,FALSE)</f>
        <v>29.70748 , 77.00315</v>
      </c>
      <c r="H269" s="1">
        <v>45418</v>
      </c>
      <c r="I269" s="1">
        <v>45418</v>
      </c>
      <c r="J269">
        <v>100</v>
      </c>
      <c r="K269">
        <v>100</v>
      </c>
      <c r="L269">
        <v>100</v>
      </c>
      <c r="M269">
        <v>100</v>
      </c>
      <c r="N269">
        <v>95.652000000000001</v>
      </c>
      <c r="O269">
        <v>95.652000000000001</v>
      </c>
      <c r="P269">
        <v>100</v>
      </c>
      <c r="Q269">
        <v>95.652000000000001</v>
      </c>
      <c r="R269">
        <v>95.652000000000001</v>
      </c>
      <c r="S269">
        <v>50</v>
      </c>
      <c r="T269">
        <v>41.667000000000002</v>
      </c>
      <c r="U269">
        <v>42.856999999999999</v>
      </c>
      <c r="V269">
        <f t="shared" si="12"/>
        <v>87.5</v>
      </c>
      <c r="W269">
        <f t="shared" si="13"/>
        <v>83.242750000000001</v>
      </c>
      <c r="X269">
        <f t="shared" si="14"/>
        <v>83.540249999999986</v>
      </c>
      <c r="Y269">
        <v>13</v>
      </c>
      <c r="Z269" s="2" t="s">
        <v>256</v>
      </c>
    </row>
    <row r="270" spans="1:26" x14ac:dyDescent="0.25">
      <c r="A270">
        <v>1103</v>
      </c>
      <c r="B270">
        <v>329</v>
      </c>
      <c r="C270" t="s">
        <v>22</v>
      </c>
      <c r="D270" t="s">
        <v>254</v>
      </c>
      <c r="E270" t="s">
        <v>30</v>
      </c>
      <c r="F270" t="s">
        <v>288</v>
      </c>
      <c r="G270" t="str">
        <f>VLOOKUP(F270,Hospitals!E:H,4,FALSE)</f>
        <v>29.67798 , 76.88356</v>
      </c>
      <c r="H270" s="1">
        <v>45622</v>
      </c>
      <c r="I270" t="s">
        <v>35</v>
      </c>
      <c r="J270">
        <v>61.146000000000001</v>
      </c>
      <c r="K270">
        <v>58.58</v>
      </c>
      <c r="L270">
        <v>56.817999999999998</v>
      </c>
      <c r="M270">
        <v>52.941000000000003</v>
      </c>
      <c r="N270">
        <v>52.173999999999999</v>
      </c>
      <c r="O270">
        <v>52.173999999999999</v>
      </c>
      <c r="P270">
        <v>52.941000000000003</v>
      </c>
      <c r="Q270">
        <v>52.173999999999999</v>
      </c>
      <c r="R270">
        <v>52.173999999999999</v>
      </c>
      <c r="S270">
        <v>0</v>
      </c>
      <c r="T270">
        <v>0</v>
      </c>
      <c r="U270">
        <v>0</v>
      </c>
      <c r="V270">
        <f t="shared" si="12"/>
        <v>41.757000000000005</v>
      </c>
      <c r="W270">
        <f t="shared" si="13"/>
        <v>40.731999999999999</v>
      </c>
      <c r="X270">
        <f t="shared" si="14"/>
        <v>40.291499999999999</v>
      </c>
      <c r="Y270">
        <v>13</v>
      </c>
      <c r="Z270" s="2" t="s">
        <v>256</v>
      </c>
    </row>
    <row r="271" spans="1:26" x14ac:dyDescent="0.25">
      <c r="A271">
        <v>288</v>
      </c>
      <c r="B271">
        <v>329</v>
      </c>
      <c r="C271" t="s">
        <v>22</v>
      </c>
      <c r="D271" t="s">
        <v>254</v>
      </c>
      <c r="E271" t="s">
        <v>30</v>
      </c>
      <c r="F271" t="s">
        <v>288</v>
      </c>
      <c r="G271" t="str">
        <f>VLOOKUP(F271,Hospitals!E:H,4,FALSE)</f>
        <v>29.67798 , 76.88356</v>
      </c>
      <c r="H271" s="1">
        <v>45620</v>
      </c>
      <c r="I271" s="1">
        <v>45622</v>
      </c>
      <c r="J271">
        <v>61.146000000000001</v>
      </c>
      <c r="K271">
        <v>58.58</v>
      </c>
      <c r="L271">
        <v>56.817999999999998</v>
      </c>
      <c r="M271">
        <v>52.941000000000003</v>
      </c>
      <c r="N271">
        <v>52.173999999999999</v>
      </c>
      <c r="O271">
        <v>52.173999999999999</v>
      </c>
      <c r="P271">
        <v>52.941000000000003</v>
      </c>
      <c r="Q271">
        <v>52.173999999999999</v>
      </c>
      <c r="R271">
        <v>52.173999999999999</v>
      </c>
      <c r="S271">
        <v>0</v>
      </c>
      <c r="T271">
        <v>0</v>
      </c>
      <c r="U271">
        <v>0</v>
      </c>
      <c r="V271">
        <f t="shared" si="12"/>
        <v>41.757000000000005</v>
      </c>
      <c r="W271">
        <f t="shared" si="13"/>
        <v>40.731999999999999</v>
      </c>
      <c r="X271">
        <f t="shared" si="14"/>
        <v>40.291499999999999</v>
      </c>
      <c r="Y271">
        <v>13</v>
      </c>
      <c r="Z271" s="2" t="s">
        <v>256</v>
      </c>
    </row>
    <row r="272" spans="1:26" x14ac:dyDescent="0.25">
      <c r="A272">
        <v>693</v>
      </c>
      <c r="B272">
        <v>336</v>
      </c>
      <c r="C272" t="s">
        <v>22</v>
      </c>
      <c r="D272" t="s">
        <v>254</v>
      </c>
      <c r="E272" t="s">
        <v>30</v>
      </c>
      <c r="F272" t="s">
        <v>289</v>
      </c>
      <c r="G272" t="str">
        <f>VLOOKUP(F272,Hospitals!E:H,4,FALSE)</f>
        <v>29.68762 , 76.99886</v>
      </c>
      <c r="H272" s="1">
        <v>45419</v>
      </c>
      <c r="I272" t="s">
        <v>35</v>
      </c>
      <c r="J272">
        <v>94.268000000000001</v>
      </c>
      <c r="K272">
        <v>93.491</v>
      </c>
      <c r="L272">
        <v>92.045000000000002</v>
      </c>
      <c r="M272">
        <v>82.352999999999994</v>
      </c>
      <c r="N272">
        <v>82.608999999999995</v>
      </c>
      <c r="O272">
        <v>82.608999999999995</v>
      </c>
      <c r="P272">
        <v>82.352999999999994</v>
      </c>
      <c r="Q272">
        <v>82.608999999999995</v>
      </c>
      <c r="R272">
        <v>82.608999999999995</v>
      </c>
      <c r="S272">
        <v>20</v>
      </c>
      <c r="T272">
        <v>16.667000000000002</v>
      </c>
      <c r="U272">
        <v>14.286</v>
      </c>
      <c r="V272">
        <f t="shared" si="12"/>
        <v>69.743499999999997</v>
      </c>
      <c r="W272">
        <f t="shared" si="13"/>
        <v>68.843999999999994</v>
      </c>
      <c r="X272">
        <f t="shared" si="14"/>
        <v>67.887249999999995</v>
      </c>
      <c r="Y272">
        <v>13</v>
      </c>
      <c r="Z272" s="2" t="s">
        <v>256</v>
      </c>
    </row>
    <row r="273" spans="1:26" x14ac:dyDescent="0.25">
      <c r="A273">
        <v>634</v>
      </c>
      <c r="B273">
        <v>337</v>
      </c>
      <c r="C273" t="s">
        <v>22</v>
      </c>
      <c r="D273" t="s">
        <v>254</v>
      </c>
      <c r="E273" t="s">
        <v>30</v>
      </c>
      <c r="F273" t="s">
        <v>290</v>
      </c>
      <c r="G273" t="e">
        <f>VLOOKUP(F273,Hospitals!E:H,4,FALSE)</f>
        <v>#N/A</v>
      </c>
      <c r="H273" s="1">
        <v>45394</v>
      </c>
      <c r="I273" t="s">
        <v>35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f t="shared" si="12"/>
        <v>0</v>
      </c>
      <c r="W273">
        <f t="shared" si="13"/>
        <v>0</v>
      </c>
      <c r="X273">
        <f t="shared" si="14"/>
        <v>0</v>
      </c>
      <c r="Y273">
        <v>13</v>
      </c>
      <c r="Z273" s="2" t="s">
        <v>256</v>
      </c>
    </row>
    <row r="274" spans="1:26" x14ac:dyDescent="0.25">
      <c r="A274">
        <v>697</v>
      </c>
      <c r="B274">
        <v>338</v>
      </c>
      <c r="C274" t="s">
        <v>22</v>
      </c>
      <c r="D274" t="s">
        <v>254</v>
      </c>
      <c r="E274" t="s">
        <v>30</v>
      </c>
      <c r="F274" t="s">
        <v>291</v>
      </c>
      <c r="G274" t="e">
        <f>VLOOKUP(F274,Hospitals!E:H,4,FALSE)</f>
        <v>#N/A</v>
      </c>
      <c r="H274" s="1">
        <v>45418</v>
      </c>
      <c r="I274" t="s">
        <v>35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f t="shared" si="12"/>
        <v>0</v>
      </c>
      <c r="W274">
        <f t="shared" si="13"/>
        <v>0</v>
      </c>
      <c r="X274">
        <f t="shared" si="14"/>
        <v>0</v>
      </c>
      <c r="Y274">
        <v>13</v>
      </c>
      <c r="Z274" s="2" t="s">
        <v>256</v>
      </c>
    </row>
    <row r="275" spans="1:26" x14ac:dyDescent="0.25">
      <c r="A275">
        <v>322</v>
      </c>
      <c r="B275">
        <v>343</v>
      </c>
      <c r="C275" t="s">
        <v>22</v>
      </c>
      <c r="D275" t="s">
        <v>254</v>
      </c>
      <c r="E275" t="s">
        <v>30</v>
      </c>
      <c r="F275" t="s">
        <v>292</v>
      </c>
      <c r="G275" t="str">
        <f>VLOOKUP(F275,Hospitals!E:H,4,FALSE)</f>
        <v>30.1652 , 75.46</v>
      </c>
      <c r="H275" s="1">
        <v>45356</v>
      </c>
      <c r="I275" t="s">
        <v>35</v>
      </c>
      <c r="J275">
        <v>10.827999999999999</v>
      </c>
      <c r="K275">
        <v>12.426</v>
      </c>
      <c r="L275">
        <v>12.5</v>
      </c>
      <c r="M275">
        <v>52.941000000000003</v>
      </c>
      <c r="N275">
        <v>52.173999999999999</v>
      </c>
      <c r="O275">
        <v>52.173999999999999</v>
      </c>
      <c r="P275">
        <v>52.941000000000003</v>
      </c>
      <c r="Q275">
        <v>52.173999999999999</v>
      </c>
      <c r="R275">
        <v>52.173999999999999</v>
      </c>
      <c r="S275">
        <v>0</v>
      </c>
      <c r="T275">
        <v>0</v>
      </c>
      <c r="U275">
        <v>0</v>
      </c>
      <c r="V275">
        <f t="shared" si="12"/>
        <v>29.177500000000002</v>
      </c>
      <c r="W275">
        <f t="shared" si="13"/>
        <v>29.1935</v>
      </c>
      <c r="X275">
        <f t="shared" si="14"/>
        <v>29.212000000000003</v>
      </c>
      <c r="Y275">
        <v>13</v>
      </c>
      <c r="Z275" s="2" t="s">
        <v>256</v>
      </c>
    </row>
    <row r="276" spans="1:26" x14ac:dyDescent="0.25">
      <c r="A276">
        <v>544</v>
      </c>
      <c r="B276">
        <v>345</v>
      </c>
      <c r="C276" t="s">
        <v>22</v>
      </c>
      <c r="D276" t="s">
        <v>254</v>
      </c>
      <c r="E276" t="s">
        <v>30</v>
      </c>
      <c r="F276" t="s">
        <v>293</v>
      </c>
      <c r="G276" t="str">
        <f>VLOOKUP(F276,Hospitals!E:H,4,FALSE)</f>
        <v>29.68781 , 76.99169</v>
      </c>
      <c r="H276" s="1">
        <v>45381</v>
      </c>
      <c r="I276" t="s">
        <v>35</v>
      </c>
      <c r="J276">
        <v>98.725999999999999</v>
      </c>
      <c r="K276">
        <v>98.224999999999994</v>
      </c>
      <c r="L276">
        <v>96.590999999999994</v>
      </c>
      <c r="M276">
        <v>58.823999999999998</v>
      </c>
      <c r="N276">
        <v>60.87</v>
      </c>
      <c r="O276">
        <v>60.87</v>
      </c>
      <c r="P276">
        <v>58.823999999999998</v>
      </c>
      <c r="Q276">
        <v>60.87</v>
      </c>
      <c r="R276">
        <v>60.87</v>
      </c>
      <c r="S276">
        <v>30</v>
      </c>
      <c r="T276">
        <v>25</v>
      </c>
      <c r="U276">
        <v>0</v>
      </c>
      <c r="V276">
        <f t="shared" si="12"/>
        <v>61.593500000000006</v>
      </c>
      <c r="W276">
        <f t="shared" si="13"/>
        <v>61.241250000000001</v>
      </c>
      <c r="X276">
        <f t="shared" si="14"/>
        <v>54.582749999999997</v>
      </c>
      <c r="Y276">
        <v>13</v>
      </c>
      <c r="Z276" s="2" t="s">
        <v>256</v>
      </c>
    </row>
    <row r="277" spans="1:26" x14ac:dyDescent="0.25">
      <c r="A277">
        <v>379</v>
      </c>
      <c r="B277">
        <v>345</v>
      </c>
      <c r="C277" t="s">
        <v>22</v>
      </c>
      <c r="D277" t="s">
        <v>254</v>
      </c>
      <c r="E277" t="s">
        <v>30</v>
      </c>
      <c r="F277" t="s">
        <v>293</v>
      </c>
      <c r="G277" t="str">
        <f>VLOOKUP(F277,Hospitals!E:H,4,FALSE)</f>
        <v>29.68781 , 76.99169</v>
      </c>
      <c r="H277" s="1">
        <v>45381</v>
      </c>
      <c r="I277" s="1">
        <v>45381</v>
      </c>
      <c r="J277">
        <v>98.725999999999999</v>
      </c>
      <c r="K277">
        <v>98.224999999999994</v>
      </c>
      <c r="L277">
        <v>96.590999999999994</v>
      </c>
      <c r="M277">
        <v>58.823999999999998</v>
      </c>
      <c r="N277">
        <v>60.87</v>
      </c>
      <c r="O277">
        <v>60.87</v>
      </c>
      <c r="P277">
        <v>58.823999999999998</v>
      </c>
      <c r="Q277">
        <v>60.87</v>
      </c>
      <c r="R277">
        <v>60.87</v>
      </c>
      <c r="S277">
        <v>30</v>
      </c>
      <c r="T277">
        <v>25</v>
      </c>
      <c r="U277">
        <v>0</v>
      </c>
      <c r="V277">
        <f t="shared" si="12"/>
        <v>61.593500000000006</v>
      </c>
      <c r="W277">
        <f t="shared" si="13"/>
        <v>61.241250000000001</v>
      </c>
      <c r="X277">
        <f t="shared" si="14"/>
        <v>54.582749999999997</v>
      </c>
      <c r="Y277">
        <v>13</v>
      </c>
      <c r="Z277" s="2" t="s">
        <v>256</v>
      </c>
    </row>
    <row r="278" spans="1:26" x14ac:dyDescent="0.25">
      <c r="A278">
        <v>687</v>
      </c>
      <c r="B278">
        <v>348</v>
      </c>
      <c r="C278" t="s">
        <v>22</v>
      </c>
      <c r="D278" t="s">
        <v>254</v>
      </c>
      <c r="E278" t="s">
        <v>30</v>
      </c>
      <c r="F278" t="s">
        <v>294</v>
      </c>
      <c r="G278" t="str">
        <f>VLOOKUP(F278,Hospitals!E:H,4,FALSE)</f>
        <v>29.6942 , 76.98909</v>
      </c>
      <c r="H278" s="1">
        <v>45420</v>
      </c>
      <c r="I278" s="1">
        <v>45420</v>
      </c>
      <c r="J278">
        <v>99.363</v>
      </c>
      <c r="K278">
        <v>98.816999999999993</v>
      </c>
      <c r="L278">
        <v>98.295000000000002</v>
      </c>
      <c r="M278">
        <v>100</v>
      </c>
      <c r="N278">
        <v>100</v>
      </c>
      <c r="O278">
        <v>100</v>
      </c>
      <c r="P278">
        <v>100</v>
      </c>
      <c r="Q278">
        <v>100</v>
      </c>
      <c r="R278">
        <v>100</v>
      </c>
      <c r="S278">
        <v>70</v>
      </c>
      <c r="T278">
        <v>66.667000000000002</v>
      </c>
      <c r="U278">
        <v>42.856999999999999</v>
      </c>
      <c r="V278">
        <f t="shared" si="12"/>
        <v>92.34075</v>
      </c>
      <c r="W278">
        <f t="shared" si="13"/>
        <v>91.371000000000009</v>
      </c>
      <c r="X278">
        <f t="shared" si="14"/>
        <v>85.288000000000011</v>
      </c>
      <c r="Y278">
        <v>13</v>
      </c>
      <c r="Z278" s="2" t="s">
        <v>256</v>
      </c>
    </row>
    <row r="279" spans="1:26" x14ac:dyDescent="0.25">
      <c r="A279">
        <v>710</v>
      </c>
      <c r="B279">
        <v>349</v>
      </c>
      <c r="C279" t="s">
        <v>22</v>
      </c>
      <c r="D279" t="s">
        <v>254</v>
      </c>
      <c r="E279" t="s">
        <v>77</v>
      </c>
      <c r="F279" t="s">
        <v>295</v>
      </c>
      <c r="G279" t="str">
        <f>VLOOKUP(F279,Hospitals!E:H,4,FALSE)</f>
        <v>30.90096 , 75.85728</v>
      </c>
      <c r="H279" s="1">
        <v>45428</v>
      </c>
      <c r="I279" s="1">
        <v>45428</v>
      </c>
      <c r="J279">
        <v>55.414000000000001</v>
      </c>
      <c r="K279">
        <v>53.253999999999998</v>
      </c>
      <c r="L279">
        <v>51.704999999999998</v>
      </c>
      <c r="M279">
        <v>23.529</v>
      </c>
      <c r="N279">
        <v>17.390999999999998</v>
      </c>
      <c r="O279">
        <v>17.390999999999998</v>
      </c>
      <c r="P279">
        <v>23.529</v>
      </c>
      <c r="Q279">
        <v>17.390999999999998</v>
      </c>
      <c r="R279">
        <v>17.390999999999998</v>
      </c>
      <c r="S279">
        <v>30</v>
      </c>
      <c r="T279">
        <v>16.667000000000002</v>
      </c>
      <c r="U279">
        <v>14.286</v>
      </c>
      <c r="V279">
        <f t="shared" si="12"/>
        <v>33.117999999999995</v>
      </c>
      <c r="W279">
        <f t="shared" si="13"/>
        <v>26.175750000000001</v>
      </c>
      <c r="X279">
        <f t="shared" si="14"/>
        <v>25.193249999999999</v>
      </c>
      <c r="Y279">
        <v>13</v>
      </c>
      <c r="Z279" s="2" t="s">
        <v>256</v>
      </c>
    </row>
    <row r="280" spans="1:26" x14ac:dyDescent="0.25">
      <c r="A280">
        <v>388</v>
      </c>
      <c r="B280">
        <v>350</v>
      </c>
      <c r="C280" t="s">
        <v>22</v>
      </c>
      <c r="D280" t="s">
        <v>254</v>
      </c>
      <c r="E280" t="s">
        <v>77</v>
      </c>
      <c r="F280" t="s">
        <v>296</v>
      </c>
      <c r="G280" t="str">
        <f>VLOOKUP(F280,Hospitals!E:H,4,FALSE)</f>
        <v>29.87786 , 77.06706</v>
      </c>
      <c r="H280" s="1">
        <v>45419</v>
      </c>
      <c r="I280" s="1">
        <v>45419</v>
      </c>
      <c r="J280">
        <v>38.853999999999999</v>
      </c>
      <c r="K280">
        <v>36.094999999999999</v>
      </c>
      <c r="L280">
        <v>34.658999999999999</v>
      </c>
      <c r="M280">
        <v>47.058999999999997</v>
      </c>
      <c r="N280">
        <v>34.783000000000001</v>
      </c>
      <c r="O280">
        <v>34.783000000000001</v>
      </c>
      <c r="P280">
        <v>47.058999999999997</v>
      </c>
      <c r="Q280">
        <v>34.783000000000001</v>
      </c>
      <c r="R280">
        <v>34.783000000000001</v>
      </c>
      <c r="S280">
        <v>20</v>
      </c>
      <c r="T280">
        <v>8.3330000000000002</v>
      </c>
      <c r="U280">
        <v>7.1429999999999998</v>
      </c>
      <c r="V280">
        <f t="shared" si="12"/>
        <v>38.242999999999995</v>
      </c>
      <c r="W280">
        <f t="shared" si="13"/>
        <v>28.4985</v>
      </c>
      <c r="X280">
        <f t="shared" si="14"/>
        <v>27.842000000000002</v>
      </c>
      <c r="Y280">
        <v>13</v>
      </c>
      <c r="Z280" s="2" t="s">
        <v>256</v>
      </c>
    </row>
    <row r="281" spans="1:26" x14ac:dyDescent="0.25">
      <c r="A281">
        <v>326</v>
      </c>
      <c r="B281">
        <v>351</v>
      </c>
      <c r="C281" t="s">
        <v>22</v>
      </c>
      <c r="D281" t="s">
        <v>254</v>
      </c>
      <c r="E281" t="s">
        <v>77</v>
      </c>
      <c r="F281" t="s">
        <v>297</v>
      </c>
      <c r="G281" t="str">
        <f>VLOOKUP(F281,Hospitals!E:H,4,FALSE)</f>
        <v>30.05066 , 76.33043</v>
      </c>
      <c r="H281" s="1">
        <v>45357</v>
      </c>
      <c r="I281" s="1">
        <v>45357</v>
      </c>
      <c r="J281">
        <v>63.057000000000002</v>
      </c>
      <c r="K281">
        <v>59.171999999999997</v>
      </c>
      <c r="L281">
        <v>56.817999999999998</v>
      </c>
      <c r="M281">
        <v>29.411999999999999</v>
      </c>
      <c r="N281">
        <v>21.739000000000001</v>
      </c>
      <c r="O281">
        <v>21.739000000000001</v>
      </c>
      <c r="P281">
        <v>29.411999999999999</v>
      </c>
      <c r="Q281">
        <v>21.739000000000001</v>
      </c>
      <c r="R281">
        <v>21.739000000000001</v>
      </c>
      <c r="S281">
        <v>10</v>
      </c>
      <c r="T281">
        <v>8.3330000000000002</v>
      </c>
      <c r="U281">
        <v>7.1429999999999998</v>
      </c>
      <c r="V281">
        <f t="shared" si="12"/>
        <v>32.97025</v>
      </c>
      <c r="W281">
        <f t="shared" si="13"/>
        <v>27.745750000000001</v>
      </c>
      <c r="X281">
        <f t="shared" si="14"/>
        <v>26.859750000000002</v>
      </c>
      <c r="Y281">
        <v>13</v>
      </c>
      <c r="Z281" s="2" t="s">
        <v>256</v>
      </c>
    </row>
    <row r="282" spans="1:26" x14ac:dyDescent="0.25">
      <c r="A282">
        <v>485</v>
      </c>
      <c r="B282">
        <v>352</v>
      </c>
      <c r="C282" t="s">
        <v>22</v>
      </c>
      <c r="D282" t="s">
        <v>298</v>
      </c>
      <c r="E282" t="s">
        <v>24</v>
      </c>
      <c r="F282" t="s">
        <v>299</v>
      </c>
      <c r="G282" t="str">
        <f>VLOOKUP(F282,Hospitals!E:H,4,FALSE)</f>
        <v>29.93261 , 76.7221</v>
      </c>
      <c r="H282" s="1">
        <v>45377</v>
      </c>
      <c r="I282" t="s">
        <v>35</v>
      </c>
      <c r="J282">
        <v>25.478000000000002</v>
      </c>
      <c r="K282">
        <v>24.852</v>
      </c>
      <c r="L282">
        <v>23.864000000000001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f t="shared" si="12"/>
        <v>6.3695000000000004</v>
      </c>
      <c r="W282">
        <f t="shared" si="13"/>
        <v>6.2130000000000001</v>
      </c>
      <c r="X282">
        <f t="shared" si="14"/>
        <v>5.9660000000000002</v>
      </c>
      <c r="Y282">
        <v>13</v>
      </c>
      <c r="Z282" s="2" t="s">
        <v>300</v>
      </c>
    </row>
    <row r="283" spans="1:26" x14ac:dyDescent="0.25">
      <c r="A283">
        <v>296</v>
      </c>
      <c r="B283">
        <v>352</v>
      </c>
      <c r="C283" t="s">
        <v>22</v>
      </c>
      <c r="D283" t="s">
        <v>298</v>
      </c>
      <c r="E283" t="s">
        <v>24</v>
      </c>
      <c r="F283" t="s">
        <v>299</v>
      </c>
      <c r="G283" t="str">
        <f>VLOOKUP(F283,Hospitals!E:H,4,FALSE)</f>
        <v>29.93261 , 76.7221</v>
      </c>
      <c r="H283" s="1">
        <v>45349</v>
      </c>
      <c r="I283" s="1">
        <v>45349</v>
      </c>
      <c r="J283">
        <v>25.478000000000002</v>
      </c>
      <c r="K283">
        <v>24.852</v>
      </c>
      <c r="L283">
        <v>23.864000000000001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f t="shared" si="12"/>
        <v>6.3695000000000004</v>
      </c>
      <c r="W283">
        <f t="shared" si="13"/>
        <v>6.2130000000000001</v>
      </c>
      <c r="X283">
        <f t="shared" si="14"/>
        <v>5.9660000000000002</v>
      </c>
      <c r="Y283">
        <v>13</v>
      </c>
      <c r="Z283" s="2" t="s">
        <v>300</v>
      </c>
    </row>
    <row r="284" spans="1:26" x14ac:dyDescent="0.25">
      <c r="A284">
        <v>394</v>
      </c>
      <c r="B284">
        <v>353</v>
      </c>
      <c r="C284" t="s">
        <v>22</v>
      </c>
      <c r="D284" t="s">
        <v>298</v>
      </c>
      <c r="E284" t="s">
        <v>24</v>
      </c>
      <c r="F284" t="s">
        <v>301</v>
      </c>
      <c r="G284" t="str">
        <f>VLOOKUP(F284,Hospitals!E:H,4,FALSE)</f>
        <v>29.99809 , 77.03342</v>
      </c>
      <c r="H284" s="1">
        <v>45457</v>
      </c>
      <c r="I284" s="1">
        <v>45457</v>
      </c>
      <c r="J284">
        <v>49.682000000000002</v>
      </c>
      <c r="K284">
        <v>47.337000000000003</v>
      </c>
      <c r="L284">
        <v>45.454999999999998</v>
      </c>
      <c r="M284">
        <v>64.706000000000003</v>
      </c>
      <c r="N284">
        <v>52.173999999999999</v>
      </c>
      <c r="O284">
        <v>52.173999999999999</v>
      </c>
      <c r="P284">
        <v>64.706000000000003</v>
      </c>
      <c r="Q284">
        <v>52.173999999999999</v>
      </c>
      <c r="R284">
        <v>52.173999999999999</v>
      </c>
      <c r="S284">
        <v>0</v>
      </c>
      <c r="T284">
        <v>0</v>
      </c>
      <c r="U284">
        <v>0</v>
      </c>
      <c r="V284">
        <f t="shared" si="12"/>
        <v>44.773499999999999</v>
      </c>
      <c r="W284">
        <f t="shared" si="13"/>
        <v>37.921250000000001</v>
      </c>
      <c r="X284">
        <f t="shared" si="14"/>
        <v>37.450749999999999</v>
      </c>
      <c r="Y284">
        <v>13</v>
      </c>
      <c r="Z284" s="2" t="s">
        <v>300</v>
      </c>
    </row>
    <row r="285" spans="1:26" x14ac:dyDescent="0.25">
      <c r="A285">
        <v>412</v>
      </c>
      <c r="B285">
        <v>354</v>
      </c>
      <c r="C285" t="s">
        <v>22</v>
      </c>
      <c r="D285" t="s">
        <v>298</v>
      </c>
      <c r="E285" t="s">
        <v>24</v>
      </c>
      <c r="F285" t="s">
        <v>302</v>
      </c>
      <c r="G285" t="str">
        <f>VLOOKUP(F285,Hospitals!E:H,4,FALSE)</f>
        <v>30.09308 , 76.75961</v>
      </c>
      <c r="H285" s="1">
        <v>45553</v>
      </c>
      <c r="I285" s="1">
        <v>45553</v>
      </c>
      <c r="J285">
        <v>62.42</v>
      </c>
      <c r="K285">
        <v>58.58</v>
      </c>
      <c r="L285">
        <v>56.25</v>
      </c>
      <c r="M285">
        <v>23.529</v>
      </c>
      <c r="N285">
        <v>17.390999999999998</v>
      </c>
      <c r="O285">
        <v>17.390999999999998</v>
      </c>
      <c r="P285">
        <v>23.529</v>
      </c>
      <c r="Q285">
        <v>17.390999999999998</v>
      </c>
      <c r="R285">
        <v>17.390999999999998</v>
      </c>
      <c r="S285">
        <v>0</v>
      </c>
      <c r="T285">
        <v>0</v>
      </c>
      <c r="U285">
        <v>0</v>
      </c>
      <c r="V285">
        <f t="shared" si="12"/>
        <v>27.369499999999999</v>
      </c>
      <c r="W285">
        <f t="shared" si="13"/>
        <v>23.340499999999999</v>
      </c>
      <c r="X285">
        <f t="shared" si="14"/>
        <v>22.757999999999996</v>
      </c>
      <c r="Y285">
        <v>13</v>
      </c>
      <c r="Z285" s="2" t="s">
        <v>300</v>
      </c>
    </row>
    <row r="286" spans="1:26" x14ac:dyDescent="0.25">
      <c r="A286">
        <v>392</v>
      </c>
      <c r="B286">
        <v>355</v>
      </c>
      <c r="C286" t="s">
        <v>22</v>
      </c>
      <c r="D286" t="s">
        <v>298</v>
      </c>
      <c r="E286" t="s">
        <v>24</v>
      </c>
      <c r="F286" t="s">
        <v>303</v>
      </c>
      <c r="G286" t="str">
        <f>VLOOKUP(F286,Hospitals!E:H,4,FALSE)</f>
        <v>29.99809 , 77.03342</v>
      </c>
      <c r="H286" s="1">
        <v>45464</v>
      </c>
      <c r="I286" s="1">
        <v>45464</v>
      </c>
      <c r="J286">
        <v>29.936</v>
      </c>
      <c r="K286">
        <v>30.178000000000001</v>
      </c>
      <c r="L286">
        <v>29.545000000000002</v>
      </c>
      <c r="M286">
        <v>23.529</v>
      </c>
      <c r="N286">
        <v>17.390999999999998</v>
      </c>
      <c r="O286">
        <v>17.390999999999998</v>
      </c>
      <c r="P286">
        <v>23.529</v>
      </c>
      <c r="Q286">
        <v>17.390999999999998</v>
      </c>
      <c r="R286">
        <v>17.390999999999998</v>
      </c>
      <c r="S286">
        <v>10</v>
      </c>
      <c r="T286">
        <v>8.3330000000000002</v>
      </c>
      <c r="U286">
        <v>0</v>
      </c>
      <c r="V286">
        <f t="shared" si="12"/>
        <v>21.7485</v>
      </c>
      <c r="W286">
        <f t="shared" si="13"/>
        <v>18.323250000000002</v>
      </c>
      <c r="X286">
        <f t="shared" si="14"/>
        <v>16.08175</v>
      </c>
      <c r="Y286">
        <v>13</v>
      </c>
      <c r="Z286" s="2" t="s">
        <v>300</v>
      </c>
    </row>
    <row r="287" spans="1:26" x14ac:dyDescent="0.25">
      <c r="A287">
        <v>1035</v>
      </c>
      <c r="B287">
        <v>356</v>
      </c>
      <c r="C287" t="s">
        <v>22</v>
      </c>
      <c r="D287" t="s">
        <v>298</v>
      </c>
      <c r="E287" t="s">
        <v>24</v>
      </c>
      <c r="F287" t="s">
        <v>304</v>
      </c>
      <c r="G287" t="str">
        <f>VLOOKUP(F287,Hospitals!E:H,4,FALSE)</f>
        <v>29.77552 , 76.41003</v>
      </c>
      <c r="H287" s="1">
        <v>45553</v>
      </c>
      <c r="I287" s="1">
        <v>45554</v>
      </c>
      <c r="J287">
        <v>37.58</v>
      </c>
      <c r="K287">
        <v>34.911000000000001</v>
      </c>
      <c r="L287">
        <v>33.523000000000003</v>
      </c>
      <c r="M287">
        <v>23.529</v>
      </c>
      <c r="N287">
        <v>17.390999999999998</v>
      </c>
      <c r="O287">
        <v>17.390999999999998</v>
      </c>
      <c r="P287">
        <v>23.529</v>
      </c>
      <c r="Q287">
        <v>17.390999999999998</v>
      </c>
      <c r="R287">
        <v>17.390999999999998</v>
      </c>
      <c r="S287">
        <v>10</v>
      </c>
      <c r="T287">
        <v>8.3330000000000002</v>
      </c>
      <c r="U287">
        <v>0</v>
      </c>
      <c r="V287">
        <f t="shared" si="12"/>
        <v>23.659499999999998</v>
      </c>
      <c r="W287">
        <f t="shared" si="13"/>
        <v>19.506499999999999</v>
      </c>
      <c r="X287">
        <f t="shared" si="14"/>
        <v>17.076250000000002</v>
      </c>
      <c r="Y287">
        <v>13</v>
      </c>
      <c r="Z287" s="2" t="s">
        <v>300</v>
      </c>
    </row>
    <row r="288" spans="1:26" x14ac:dyDescent="0.25">
      <c r="A288">
        <v>334</v>
      </c>
      <c r="B288">
        <v>357</v>
      </c>
      <c r="C288" t="s">
        <v>22</v>
      </c>
      <c r="D288" t="s">
        <v>298</v>
      </c>
      <c r="E288" t="s">
        <v>62</v>
      </c>
      <c r="F288" t="s">
        <v>305</v>
      </c>
      <c r="G288" t="e">
        <f>VLOOKUP(F288,Hospitals!E:H,4,FALSE)</f>
        <v>#N/A</v>
      </c>
      <c r="H288" s="1">
        <v>45378</v>
      </c>
      <c r="I288" s="1">
        <v>45378</v>
      </c>
      <c r="J288">
        <v>91.72</v>
      </c>
      <c r="K288">
        <v>90.533000000000001</v>
      </c>
      <c r="L288">
        <v>89.772999999999996</v>
      </c>
      <c r="M288">
        <v>82.352999999999994</v>
      </c>
      <c r="N288">
        <v>86.956999999999994</v>
      </c>
      <c r="O288">
        <v>86.956999999999994</v>
      </c>
      <c r="P288">
        <v>82.352999999999994</v>
      </c>
      <c r="Q288">
        <v>86.956999999999994</v>
      </c>
      <c r="R288">
        <v>86.956999999999994</v>
      </c>
      <c r="S288">
        <v>40</v>
      </c>
      <c r="T288">
        <v>25</v>
      </c>
      <c r="U288">
        <v>14.286</v>
      </c>
      <c r="V288">
        <f t="shared" si="12"/>
        <v>74.106499999999997</v>
      </c>
      <c r="W288">
        <f t="shared" si="13"/>
        <v>72.361750000000001</v>
      </c>
      <c r="X288">
        <f t="shared" si="14"/>
        <v>69.493250000000003</v>
      </c>
      <c r="Y288">
        <v>13</v>
      </c>
      <c r="Z288" s="2" t="s">
        <v>300</v>
      </c>
    </row>
    <row r="289" spans="1:26" x14ac:dyDescent="0.25">
      <c r="A289">
        <v>320</v>
      </c>
      <c r="B289">
        <v>357</v>
      </c>
      <c r="C289" t="s">
        <v>22</v>
      </c>
      <c r="D289" t="s">
        <v>298</v>
      </c>
      <c r="E289" t="s">
        <v>62</v>
      </c>
      <c r="F289" t="s">
        <v>305</v>
      </c>
      <c r="G289" t="e">
        <f>VLOOKUP(F289,Hospitals!E:H,4,FALSE)</f>
        <v>#N/A</v>
      </c>
      <c r="H289" s="1">
        <v>45356</v>
      </c>
      <c r="I289" s="1">
        <v>45365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f t="shared" si="12"/>
        <v>0</v>
      </c>
      <c r="W289">
        <f t="shared" si="13"/>
        <v>0</v>
      </c>
      <c r="X289">
        <f t="shared" si="14"/>
        <v>0</v>
      </c>
      <c r="Y289">
        <v>13</v>
      </c>
      <c r="Z289" s="2" t="s">
        <v>300</v>
      </c>
    </row>
    <row r="290" spans="1:26" x14ac:dyDescent="0.25">
      <c r="A290">
        <v>791</v>
      </c>
      <c r="B290">
        <v>358</v>
      </c>
      <c r="C290" t="s">
        <v>22</v>
      </c>
      <c r="D290" t="s">
        <v>298</v>
      </c>
      <c r="E290" t="s">
        <v>27</v>
      </c>
      <c r="F290" t="s">
        <v>306</v>
      </c>
      <c r="G290" t="str">
        <f>VLOOKUP(F290,Hospitals!E:H,4,FALSE)</f>
        <v>29.31151 , 76.88363</v>
      </c>
      <c r="H290" s="1">
        <v>45455</v>
      </c>
      <c r="I290" s="1">
        <v>45455</v>
      </c>
      <c r="J290">
        <v>37.58</v>
      </c>
      <c r="K290">
        <v>34.911000000000001</v>
      </c>
      <c r="L290">
        <v>33.523000000000003</v>
      </c>
      <c r="M290">
        <v>23.529</v>
      </c>
      <c r="N290">
        <v>17.390999999999998</v>
      </c>
      <c r="O290">
        <v>17.390999999999998</v>
      </c>
      <c r="P290">
        <v>23.529</v>
      </c>
      <c r="Q290">
        <v>17.390999999999998</v>
      </c>
      <c r="R290">
        <v>17.390999999999998</v>
      </c>
      <c r="S290">
        <v>0</v>
      </c>
      <c r="T290">
        <v>0</v>
      </c>
      <c r="U290">
        <v>0</v>
      </c>
      <c r="V290">
        <f t="shared" si="12"/>
        <v>21.159499999999998</v>
      </c>
      <c r="W290">
        <f t="shared" si="13"/>
        <v>17.423249999999999</v>
      </c>
      <c r="X290">
        <f t="shared" si="14"/>
        <v>17.076250000000002</v>
      </c>
      <c r="Y290">
        <v>13</v>
      </c>
      <c r="Z290" s="2" t="s">
        <v>300</v>
      </c>
    </row>
    <row r="291" spans="1:26" x14ac:dyDescent="0.25">
      <c r="A291">
        <v>845</v>
      </c>
      <c r="B291">
        <v>359</v>
      </c>
      <c r="C291" t="s">
        <v>22</v>
      </c>
      <c r="D291" t="s">
        <v>298</v>
      </c>
      <c r="E291" t="s">
        <v>27</v>
      </c>
      <c r="F291" t="s">
        <v>307</v>
      </c>
      <c r="G291" t="str">
        <f>VLOOKUP(F291,Hospitals!E:H,4,FALSE)</f>
        <v>30.28297 , 76.71056</v>
      </c>
      <c r="H291" s="1">
        <v>45474</v>
      </c>
      <c r="I291" s="1">
        <v>45474</v>
      </c>
      <c r="J291">
        <v>37.58</v>
      </c>
      <c r="K291">
        <v>34.911000000000001</v>
      </c>
      <c r="L291">
        <v>33.523000000000003</v>
      </c>
      <c r="M291">
        <v>29.411999999999999</v>
      </c>
      <c r="N291">
        <v>21.739000000000001</v>
      </c>
      <c r="O291">
        <v>21.739000000000001</v>
      </c>
      <c r="P291">
        <v>29.411999999999999</v>
      </c>
      <c r="Q291">
        <v>21.739000000000001</v>
      </c>
      <c r="R291">
        <v>21.739000000000001</v>
      </c>
      <c r="S291">
        <v>0</v>
      </c>
      <c r="T291">
        <v>0</v>
      </c>
      <c r="U291">
        <v>0</v>
      </c>
      <c r="V291">
        <f t="shared" si="12"/>
        <v>24.100999999999999</v>
      </c>
      <c r="W291">
        <f t="shared" si="13"/>
        <v>19.597250000000003</v>
      </c>
      <c r="X291">
        <f t="shared" si="14"/>
        <v>19.250250000000001</v>
      </c>
      <c r="Y291">
        <v>13</v>
      </c>
      <c r="Z291" s="2" t="s">
        <v>300</v>
      </c>
    </row>
    <row r="292" spans="1:26" x14ac:dyDescent="0.25">
      <c r="A292">
        <v>299</v>
      </c>
      <c r="B292">
        <v>360</v>
      </c>
      <c r="C292" t="s">
        <v>22</v>
      </c>
      <c r="D292" t="s">
        <v>298</v>
      </c>
      <c r="E292" t="s">
        <v>27</v>
      </c>
      <c r="F292" t="s">
        <v>308</v>
      </c>
      <c r="G292" t="str">
        <f>VLOOKUP(F292,Hospitals!E:H,4,FALSE)</f>
        <v>29.90013 , 76.78407</v>
      </c>
      <c r="H292" s="1">
        <v>45462</v>
      </c>
      <c r="I292" s="1">
        <v>45462</v>
      </c>
      <c r="J292">
        <v>39.49</v>
      </c>
      <c r="K292">
        <v>36.686</v>
      </c>
      <c r="L292">
        <v>35.226999999999997</v>
      </c>
      <c r="M292">
        <v>17.646999999999998</v>
      </c>
      <c r="N292">
        <v>13.042999999999999</v>
      </c>
      <c r="O292">
        <v>13.042999999999999</v>
      </c>
      <c r="P292">
        <v>17.646999999999998</v>
      </c>
      <c r="Q292">
        <v>13.042999999999999</v>
      </c>
      <c r="R292">
        <v>13.042999999999999</v>
      </c>
      <c r="S292">
        <v>0</v>
      </c>
      <c r="T292">
        <v>0</v>
      </c>
      <c r="U292">
        <v>0</v>
      </c>
      <c r="V292">
        <f t="shared" si="12"/>
        <v>18.695999999999998</v>
      </c>
      <c r="W292">
        <f t="shared" si="13"/>
        <v>15.693</v>
      </c>
      <c r="X292">
        <f t="shared" si="14"/>
        <v>15.328249999999999</v>
      </c>
      <c r="Y292">
        <v>13</v>
      </c>
      <c r="Z292" s="2" t="s">
        <v>300</v>
      </c>
    </row>
    <row r="293" spans="1:26" x14ac:dyDescent="0.25">
      <c r="A293">
        <v>302</v>
      </c>
      <c r="B293">
        <v>361</v>
      </c>
      <c r="C293" t="s">
        <v>22</v>
      </c>
      <c r="D293" t="s">
        <v>298</v>
      </c>
      <c r="E293" t="s">
        <v>27</v>
      </c>
      <c r="F293" t="s">
        <v>309</v>
      </c>
      <c r="G293" t="str">
        <f>VLOOKUP(F293,Hospitals!E:H,4,FALSE)</f>
        <v>30.15672 , 76.87857</v>
      </c>
      <c r="H293" s="1">
        <v>45462</v>
      </c>
      <c r="I293" s="1">
        <v>45462</v>
      </c>
      <c r="J293">
        <v>44.585999999999999</v>
      </c>
      <c r="K293">
        <v>41.42</v>
      </c>
      <c r="L293">
        <v>39.773000000000003</v>
      </c>
      <c r="M293">
        <v>17.646999999999998</v>
      </c>
      <c r="N293">
        <v>13.042999999999999</v>
      </c>
      <c r="O293">
        <v>13.042999999999999</v>
      </c>
      <c r="P293">
        <v>17.646999999999998</v>
      </c>
      <c r="Q293">
        <v>13.042999999999999</v>
      </c>
      <c r="R293">
        <v>13.042999999999999</v>
      </c>
      <c r="S293">
        <v>0</v>
      </c>
      <c r="T293">
        <v>0</v>
      </c>
      <c r="U293">
        <v>0</v>
      </c>
      <c r="V293">
        <f t="shared" si="12"/>
        <v>19.97</v>
      </c>
      <c r="W293">
        <f t="shared" si="13"/>
        <v>16.8765</v>
      </c>
      <c r="X293">
        <f t="shared" si="14"/>
        <v>16.464750000000002</v>
      </c>
      <c r="Y293">
        <v>13</v>
      </c>
      <c r="Z293" s="2" t="s">
        <v>300</v>
      </c>
    </row>
    <row r="294" spans="1:26" x14ac:dyDescent="0.25">
      <c r="A294">
        <v>300</v>
      </c>
      <c r="B294">
        <v>362</v>
      </c>
      <c r="C294" t="s">
        <v>22</v>
      </c>
      <c r="D294" t="s">
        <v>298</v>
      </c>
      <c r="E294" t="s">
        <v>27</v>
      </c>
      <c r="F294" t="s">
        <v>310</v>
      </c>
      <c r="G294" t="str">
        <f>VLOOKUP(F294,Hospitals!E:H,4,FALSE)</f>
        <v>30.04091 , 76.95348</v>
      </c>
      <c r="H294" s="1">
        <v>45572</v>
      </c>
      <c r="I294" s="1">
        <v>45572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f t="shared" si="12"/>
        <v>0</v>
      </c>
      <c r="W294">
        <f t="shared" si="13"/>
        <v>0</v>
      </c>
      <c r="X294">
        <f t="shared" si="14"/>
        <v>0</v>
      </c>
      <c r="Y294">
        <v>13</v>
      </c>
      <c r="Z294" s="2" t="s">
        <v>300</v>
      </c>
    </row>
    <row r="295" spans="1:26" x14ac:dyDescent="0.25">
      <c r="A295">
        <v>333</v>
      </c>
      <c r="B295">
        <v>363</v>
      </c>
      <c r="C295" t="s">
        <v>22</v>
      </c>
      <c r="D295" t="s">
        <v>298</v>
      </c>
      <c r="E295" t="s">
        <v>27</v>
      </c>
      <c r="F295" t="s">
        <v>311</v>
      </c>
      <c r="G295" t="e">
        <f>VLOOKUP(F295,Hospitals!E:H,4,FALSE)</f>
        <v>#N/A</v>
      </c>
      <c r="H295" s="1">
        <v>45358</v>
      </c>
      <c r="I295" s="1">
        <v>45365</v>
      </c>
      <c r="J295">
        <v>0</v>
      </c>
      <c r="K295">
        <v>0</v>
      </c>
      <c r="L295">
        <v>0</v>
      </c>
      <c r="M295">
        <v>58.823999999999998</v>
      </c>
      <c r="N295">
        <v>43.478000000000002</v>
      </c>
      <c r="O295">
        <v>43.478000000000002</v>
      </c>
      <c r="P295">
        <v>58.823999999999998</v>
      </c>
      <c r="Q295">
        <v>43.478000000000002</v>
      </c>
      <c r="R295">
        <v>43.478000000000002</v>
      </c>
      <c r="S295">
        <v>0</v>
      </c>
      <c r="T295">
        <v>0</v>
      </c>
      <c r="U295">
        <v>0</v>
      </c>
      <c r="V295">
        <f t="shared" si="12"/>
        <v>29.411999999999999</v>
      </c>
      <c r="W295">
        <f t="shared" si="13"/>
        <v>21.739000000000001</v>
      </c>
      <c r="X295">
        <f t="shared" si="14"/>
        <v>21.739000000000001</v>
      </c>
      <c r="Y295">
        <v>13</v>
      </c>
      <c r="Z295" s="2" t="s">
        <v>300</v>
      </c>
    </row>
    <row r="296" spans="1:26" x14ac:dyDescent="0.25">
      <c r="A296">
        <v>304</v>
      </c>
      <c r="B296">
        <v>363</v>
      </c>
      <c r="C296" t="s">
        <v>22</v>
      </c>
      <c r="D296" t="s">
        <v>298</v>
      </c>
      <c r="E296" t="s">
        <v>27</v>
      </c>
      <c r="F296" t="s">
        <v>311</v>
      </c>
      <c r="G296" t="e">
        <f>VLOOKUP(F296,Hospitals!E:H,4,FALSE)</f>
        <v>#N/A</v>
      </c>
      <c r="H296" s="1">
        <v>45350</v>
      </c>
      <c r="I296" s="1">
        <v>45351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f t="shared" si="12"/>
        <v>0</v>
      </c>
      <c r="W296">
        <f t="shared" si="13"/>
        <v>0</v>
      </c>
      <c r="X296">
        <f t="shared" si="14"/>
        <v>0</v>
      </c>
      <c r="Y296">
        <v>13</v>
      </c>
      <c r="Z296" s="2" t="s">
        <v>300</v>
      </c>
    </row>
    <row r="297" spans="1:26" x14ac:dyDescent="0.25">
      <c r="A297">
        <v>733</v>
      </c>
      <c r="B297">
        <v>364</v>
      </c>
      <c r="C297" t="s">
        <v>22</v>
      </c>
      <c r="D297" t="s">
        <v>298</v>
      </c>
      <c r="E297" t="s">
        <v>27</v>
      </c>
      <c r="F297" t="s">
        <v>312</v>
      </c>
      <c r="G297" t="str">
        <f>VLOOKUP(F297,Hospitals!E:H,4,FALSE)</f>
        <v>30.28297 , 76.71056</v>
      </c>
      <c r="H297" s="1">
        <v>45553</v>
      </c>
      <c r="I297" s="1">
        <v>45553</v>
      </c>
      <c r="J297">
        <v>44.585999999999999</v>
      </c>
      <c r="K297">
        <v>42.012</v>
      </c>
      <c r="L297">
        <v>40.341000000000001</v>
      </c>
      <c r="M297">
        <v>23.529</v>
      </c>
      <c r="N297">
        <v>17.390999999999998</v>
      </c>
      <c r="O297">
        <v>17.390999999999998</v>
      </c>
      <c r="P297">
        <v>23.529</v>
      </c>
      <c r="Q297">
        <v>17.390999999999998</v>
      </c>
      <c r="R297">
        <v>17.390999999999998</v>
      </c>
      <c r="S297">
        <v>0</v>
      </c>
      <c r="T297">
        <v>0</v>
      </c>
      <c r="U297">
        <v>0</v>
      </c>
      <c r="V297">
        <f t="shared" si="12"/>
        <v>22.910999999999998</v>
      </c>
      <c r="W297">
        <f t="shared" si="13"/>
        <v>19.198499999999999</v>
      </c>
      <c r="X297">
        <f t="shared" si="14"/>
        <v>18.780749999999998</v>
      </c>
      <c r="Y297">
        <v>13</v>
      </c>
      <c r="Z297" s="2" t="s">
        <v>300</v>
      </c>
    </row>
    <row r="298" spans="1:26" x14ac:dyDescent="0.25">
      <c r="A298">
        <v>889</v>
      </c>
      <c r="B298">
        <v>365</v>
      </c>
      <c r="C298" t="s">
        <v>22</v>
      </c>
      <c r="D298" t="s">
        <v>298</v>
      </c>
      <c r="E298" t="s">
        <v>27</v>
      </c>
      <c r="F298" t="s">
        <v>313</v>
      </c>
      <c r="G298" t="str">
        <f>VLOOKUP(F298,Hospitals!E:H,4,FALSE)</f>
        <v>29.77552 , 76.41003</v>
      </c>
      <c r="H298" s="1">
        <v>45576</v>
      </c>
      <c r="I298" s="1">
        <v>45576</v>
      </c>
      <c r="J298">
        <v>58.598999999999997</v>
      </c>
      <c r="K298">
        <v>55.03</v>
      </c>
      <c r="L298">
        <v>52.841000000000001</v>
      </c>
      <c r="M298">
        <v>29.411999999999999</v>
      </c>
      <c r="N298">
        <v>21.739000000000001</v>
      </c>
      <c r="O298">
        <v>21.739000000000001</v>
      </c>
      <c r="P298">
        <v>29.411999999999999</v>
      </c>
      <c r="Q298">
        <v>21.739000000000001</v>
      </c>
      <c r="R298">
        <v>21.739000000000001</v>
      </c>
      <c r="S298">
        <v>0</v>
      </c>
      <c r="T298">
        <v>0</v>
      </c>
      <c r="U298">
        <v>0</v>
      </c>
      <c r="V298">
        <f t="shared" si="12"/>
        <v>29.35575</v>
      </c>
      <c r="W298">
        <f t="shared" si="13"/>
        <v>24.627000000000002</v>
      </c>
      <c r="X298">
        <f t="shared" si="14"/>
        <v>24.079750000000001</v>
      </c>
      <c r="Y298">
        <v>13</v>
      </c>
      <c r="Z298" s="2" t="s">
        <v>300</v>
      </c>
    </row>
    <row r="299" spans="1:26" x14ac:dyDescent="0.25">
      <c r="A299">
        <v>301</v>
      </c>
      <c r="B299">
        <v>366</v>
      </c>
      <c r="C299" t="s">
        <v>22</v>
      </c>
      <c r="D299" t="s">
        <v>298</v>
      </c>
      <c r="E299" t="s">
        <v>27</v>
      </c>
      <c r="F299" t="s">
        <v>314</v>
      </c>
      <c r="G299" t="str">
        <f>VLOOKUP(F299,Hospitals!E:H,4,FALSE)</f>
        <v>29.99809 , 77.03342</v>
      </c>
      <c r="H299" s="1">
        <v>45350</v>
      </c>
      <c r="I299" s="1">
        <v>45350</v>
      </c>
      <c r="J299">
        <v>0</v>
      </c>
      <c r="K299">
        <v>0</v>
      </c>
      <c r="L299">
        <v>0</v>
      </c>
      <c r="M299">
        <v>23.529</v>
      </c>
      <c r="N299">
        <v>17.390999999999998</v>
      </c>
      <c r="O299">
        <v>17.390999999999998</v>
      </c>
      <c r="P299">
        <v>23.529</v>
      </c>
      <c r="Q299">
        <v>17.390999999999998</v>
      </c>
      <c r="R299">
        <v>17.390999999999998</v>
      </c>
      <c r="S299">
        <v>0</v>
      </c>
      <c r="T299">
        <v>0</v>
      </c>
      <c r="U299">
        <v>0</v>
      </c>
      <c r="V299">
        <f t="shared" si="12"/>
        <v>11.7645</v>
      </c>
      <c r="W299">
        <f t="shared" si="13"/>
        <v>8.6954999999999991</v>
      </c>
      <c r="X299">
        <f t="shared" si="14"/>
        <v>8.6954999999999991</v>
      </c>
      <c r="Y299">
        <v>13</v>
      </c>
      <c r="Z299" s="2" t="s">
        <v>300</v>
      </c>
    </row>
    <row r="300" spans="1:26" x14ac:dyDescent="0.25">
      <c r="A300">
        <v>830</v>
      </c>
      <c r="B300">
        <v>367</v>
      </c>
      <c r="C300" t="s">
        <v>22</v>
      </c>
      <c r="D300" t="s">
        <v>298</v>
      </c>
      <c r="E300" t="s">
        <v>27</v>
      </c>
      <c r="F300" t="s">
        <v>315</v>
      </c>
      <c r="G300" t="str">
        <f>VLOOKUP(F300,Hospitals!E:H,4,FALSE)</f>
        <v>30.00141 , 76.61817</v>
      </c>
      <c r="H300" s="1">
        <v>45573</v>
      </c>
      <c r="I300" s="1">
        <v>45573</v>
      </c>
      <c r="J300">
        <v>18.471</v>
      </c>
      <c r="K300">
        <v>17.751000000000001</v>
      </c>
      <c r="L300">
        <v>17.045000000000002</v>
      </c>
      <c r="M300">
        <v>29.411999999999999</v>
      </c>
      <c r="N300">
        <v>21.739000000000001</v>
      </c>
      <c r="O300">
        <v>21.739000000000001</v>
      </c>
      <c r="P300">
        <v>29.411999999999999</v>
      </c>
      <c r="Q300">
        <v>21.739000000000001</v>
      </c>
      <c r="R300">
        <v>21.739000000000001</v>
      </c>
      <c r="S300">
        <v>0</v>
      </c>
      <c r="T300">
        <v>0</v>
      </c>
      <c r="U300">
        <v>0</v>
      </c>
      <c r="V300">
        <f t="shared" si="12"/>
        <v>19.323749999999997</v>
      </c>
      <c r="W300">
        <f t="shared" si="13"/>
        <v>15.30725</v>
      </c>
      <c r="X300">
        <f t="shared" si="14"/>
        <v>15.130750000000003</v>
      </c>
      <c r="Y300">
        <v>13</v>
      </c>
      <c r="Z300" s="2" t="s">
        <v>300</v>
      </c>
    </row>
    <row r="301" spans="1:26" x14ac:dyDescent="0.25">
      <c r="A301">
        <v>1075</v>
      </c>
      <c r="B301">
        <v>368</v>
      </c>
      <c r="C301" t="s">
        <v>22</v>
      </c>
      <c r="D301" t="s">
        <v>298</v>
      </c>
      <c r="E301" t="s">
        <v>27</v>
      </c>
      <c r="F301" t="s">
        <v>316</v>
      </c>
      <c r="G301" t="str">
        <f>VLOOKUP(F301,Hospitals!E:H,4,FALSE)</f>
        <v>29.69108 , 77.02118</v>
      </c>
      <c r="H301" s="1">
        <v>45568</v>
      </c>
      <c r="I301" s="1">
        <v>45568</v>
      </c>
      <c r="J301">
        <v>40.764000000000003</v>
      </c>
      <c r="K301">
        <v>38.462000000000003</v>
      </c>
      <c r="L301">
        <v>36.932000000000002</v>
      </c>
      <c r="M301">
        <v>29.411999999999999</v>
      </c>
      <c r="N301">
        <v>21.739000000000001</v>
      </c>
      <c r="O301">
        <v>21.739000000000001</v>
      </c>
      <c r="P301">
        <v>29.411999999999999</v>
      </c>
      <c r="Q301">
        <v>21.739000000000001</v>
      </c>
      <c r="R301">
        <v>21.739000000000001</v>
      </c>
      <c r="S301">
        <v>0</v>
      </c>
      <c r="T301">
        <v>0</v>
      </c>
      <c r="U301">
        <v>0</v>
      </c>
      <c r="V301">
        <f t="shared" si="12"/>
        <v>24.896999999999998</v>
      </c>
      <c r="W301">
        <f t="shared" si="13"/>
        <v>20.485000000000003</v>
      </c>
      <c r="X301">
        <f t="shared" si="14"/>
        <v>20.102500000000003</v>
      </c>
      <c r="Y301">
        <v>13</v>
      </c>
      <c r="Z301" s="2" t="s">
        <v>300</v>
      </c>
    </row>
    <row r="302" spans="1:26" x14ac:dyDescent="0.25">
      <c r="A302">
        <v>893</v>
      </c>
      <c r="B302">
        <v>368</v>
      </c>
      <c r="C302" t="s">
        <v>22</v>
      </c>
      <c r="D302" t="s">
        <v>298</v>
      </c>
      <c r="E302" t="s">
        <v>27</v>
      </c>
      <c r="F302" t="s">
        <v>316</v>
      </c>
      <c r="G302" t="str">
        <f>VLOOKUP(F302,Hospitals!E:H,4,FALSE)</f>
        <v>29.69108 , 77.02118</v>
      </c>
      <c r="H302" s="1">
        <v>45566</v>
      </c>
      <c r="I302" s="1">
        <v>45566</v>
      </c>
      <c r="J302">
        <v>40.764000000000003</v>
      </c>
      <c r="K302">
        <v>38.462000000000003</v>
      </c>
      <c r="L302">
        <v>36.932000000000002</v>
      </c>
      <c r="M302">
        <v>29.411999999999999</v>
      </c>
      <c r="N302">
        <v>21.739000000000001</v>
      </c>
      <c r="O302">
        <v>21.739000000000001</v>
      </c>
      <c r="P302">
        <v>29.411999999999999</v>
      </c>
      <c r="Q302">
        <v>21.739000000000001</v>
      </c>
      <c r="R302">
        <v>21.739000000000001</v>
      </c>
      <c r="S302">
        <v>0</v>
      </c>
      <c r="T302">
        <v>0</v>
      </c>
      <c r="U302">
        <v>0</v>
      </c>
      <c r="V302">
        <f t="shared" si="12"/>
        <v>24.896999999999998</v>
      </c>
      <c r="W302">
        <f t="shared" si="13"/>
        <v>20.485000000000003</v>
      </c>
      <c r="X302">
        <f t="shared" si="14"/>
        <v>20.102500000000003</v>
      </c>
      <c r="Y302">
        <v>13</v>
      </c>
      <c r="Z302" s="2" t="s">
        <v>300</v>
      </c>
    </row>
    <row r="303" spans="1:26" x14ac:dyDescent="0.25">
      <c r="A303">
        <v>1068</v>
      </c>
      <c r="B303">
        <v>369</v>
      </c>
      <c r="C303" t="s">
        <v>22</v>
      </c>
      <c r="D303" t="s">
        <v>298</v>
      </c>
      <c r="E303" t="s">
        <v>27</v>
      </c>
      <c r="F303" t="s">
        <v>317</v>
      </c>
      <c r="G303" t="str">
        <f>VLOOKUP(F303,Hospitals!E:H,4,FALSE)</f>
        <v>30.10706 , 76.65282</v>
      </c>
      <c r="H303" s="1">
        <v>45562</v>
      </c>
      <c r="I303" s="1">
        <v>45566</v>
      </c>
      <c r="J303">
        <v>32.484000000000002</v>
      </c>
      <c r="K303">
        <v>30.178000000000001</v>
      </c>
      <c r="L303">
        <v>28.977</v>
      </c>
      <c r="M303">
        <v>5.8819999999999997</v>
      </c>
      <c r="N303">
        <v>4.3479999999999999</v>
      </c>
      <c r="O303">
        <v>4.3479999999999999</v>
      </c>
      <c r="P303">
        <v>5.8819999999999997</v>
      </c>
      <c r="Q303">
        <v>4.3479999999999999</v>
      </c>
      <c r="R303">
        <v>4.3479999999999999</v>
      </c>
      <c r="S303">
        <v>0</v>
      </c>
      <c r="T303">
        <v>0</v>
      </c>
      <c r="U303">
        <v>0</v>
      </c>
      <c r="V303">
        <f t="shared" si="12"/>
        <v>11.061999999999999</v>
      </c>
      <c r="W303">
        <f t="shared" si="13"/>
        <v>9.7185000000000006</v>
      </c>
      <c r="X303">
        <f t="shared" si="14"/>
        <v>9.4182500000000005</v>
      </c>
      <c r="Y303">
        <v>13</v>
      </c>
      <c r="Z303" s="2" t="s">
        <v>300</v>
      </c>
    </row>
    <row r="304" spans="1:26" x14ac:dyDescent="0.25">
      <c r="A304">
        <v>753</v>
      </c>
      <c r="B304">
        <v>37</v>
      </c>
      <c r="C304" t="s">
        <v>22</v>
      </c>
      <c r="D304" t="s">
        <v>23</v>
      </c>
      <c r="E304" t="s">
        <v>77</v>
      </c>
      <c r="F304" t="s">
        <v>318</v>
      </c>
      <c r="G304" t="str">
        <f>VLOOKUP(F304,Hospitals!E:H,4,FALSE)</f>
        <v>30.34253 , 76.84711</v>
      </c>
      <c r="H304" s="1">
        <v>45440</v>
      </c>
      <c r="I304" t="s">
        <v>35</v>
      </c>
      <c r="J304">
        <v>17.196999999999999</v>
      </c>
      <c r="K304">
        <v>20.117999999999999</v>
      </c>
      <c r="L304">
        <v>21.023</v>
      </c>
      <c r="M304">
        <v>88.234999999999999</v>
      </c>
      <c r="N304">
        <v>82.608999999999995</v>
      </c>
      <c r="O304">
        <v>82.608999999999995</v>
      </c>
      <c r="P304">
        <v>88.234999999999999</v>
      </c>
      <c r="Q304">
        <v>82.608999999999995</v>
      </c>
      <c r="R304">
        <v>82.608999999999995</v>
      </c>
      <c r="S304">
        <v>0</v>
      </c>
      <c r="T304">
        <v>0</v>
      </c>
      <c r="U304">
        <v>0</v>
      </c>
      <c r="V304">
        <f t="shared" si="12"/>
        <v>48.41675</v>
      </c>
      <c r="W304">
        <f t="shared" si="13"/>
        <v>46.333999999999996</v>
      </c>
      <c r="X304">
        <f t="shared" si="14"/>
        <v>46.560249999999996</v>
      </c>
      <c r="Y304">
        <v>13</v>
      </c>
      <c r="Z304" s="2" t="s">
        <v>26</v>
      </c>
    </row>
    <row r="305" spans="1:26" x14ac:dyDescent="0.25">
      <c r="A305">
        <v>1080</v>
      </c>
      <c r="B305">
        <v>370</v>
      </c>
      <c r="C305" t="s">
        <v>22</v>
      </c>
      <c r="D305" t="s">
        <v>298</v>
      </c>
      <c r="E305" t="s">
        <v>27</v>
      </c>
      <c r="F305" t="s">
        <v>319</v>
      </c>
      <c r="G305" t="str">
        <f>VLOOKUP(F305,Hospitals!E:H,4,FALSE)</f>
        <v>30.08433 , 76.98735</v>
      </c>
      <c r="H305" s="1">
        <v>45576</v>
      </c>
      <c r="I305" s="1">
        <v>45576</v>
      </c>
      <c r="J305">
        <v>3.1850000000000001</v>
      </c>
      <c r="K305">
        <v>2.9590000000000001</v>
      </c>
      <c r="L305">
        <v>2.8410000000000002</v>
      </c>
      <c r="M305">
        <v>47.058999999999997</v>
      </c>
      <c r="N305">
        <v>34.783000000000001</v>
      </c>
      <c r="O305">
        <v>34.783000000000001</v>
      </c>
      <c r="P305">
        <v>47.058999999999997</v>
      </c>
      <c r="Q305">
        <v>34.783000000000001</v>
      </c>
      <c r="R305">
        <v>34.783000000000001</v>
      </c>
      <c r="S305">
        <v>0</v>
      </c>
      <c r="T305">
        <v>0</v>
      </c>
      <c r="U305">
        <v>0</v>
      </c>
      <c r="V305">
        <f t="shared" si="12"/>
        <v>24.325749999999999</v>
      </c>
      <c r="W305">
        <f t="shared" si="13"/>
        <v>18.131250000000001</v>
      </c>
      <c r="X305">
        <f t="shared" si="14"/>
        <v>18.101750000000003</v>
      </c>
      <c r="Y305">
        <v>13</v>
      </c>
      <c r="Z305" s="2" t="s">
        <v>300</v>
      </c>
    </row>
    <row r="306" spans="1:26" x14ac:dyDescent="0.25">
      <c r="A306">
        <v>1077</v>
      </c>
      <c r="B306">
        <v>371</v>
      </c>
      <c r="C306" t="s">
        <v>22</v>
      </c>
      <c r="D306" t="s">
        <v>298</v>
      </c>
      <c r="E306" t="s">
        <v>27</v>
      </c>
      <c r="F306" t="s">
        <v>320</v>
      </c>
      <c r="G306" t="str">
        <f>VLOOKUP(F306,Hospitals!E:H,4,FALSE)</f>
        <v>30.28297 , 76.71056</v>
      </c>
      <c r="H306" s="1">
        <v>45580</v>
      </c>
      <c r="I306" t="s">
        <v>35</v>
      </c>
      <c r="J306">
        <v>1.911</v>
      </c>
      <c r="K306">
        <v>1.7749999999999999</v>
      </c>
      <c r="L306">
        <v>1.7050000000000001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f t="shared" si="12"/>
        <v>0.47775000000000001</v>
      </c>
      <c r="W306">
        <f t="shared" si="13"/>
        <v>0.44374999999999998</v>
      </c>
      <c r="X306">
        <f t="shared" si="14"/>
        <v>0.42625000000000002</v>
      </c>
      <c r="Y306">
        <v>13</v>
      </c>
      <c r="Z306" s="2" t="s">
        <v>300</v>
      </c>
    </row>
    <row r="307" spans="1:26" x14ac:dyDescent="0.25">
      <c r="A307">
        <v>318</v>
      </c>
      <c r="B307">
        <v>377</v>
      </c>
      <c r="C307" t="s">
        <v>22</v>
      </c>
      <c r="D307" t="s">
        <v>298</v>
      </c>
      <c r="E307" t="s">
        <v>30</v>
      </c>
      <c r="F307" t="s">
        <v>321</v>
      </c>
      <c r="G307" t="str">
        <f>VLOOKUP(F307,Hospitals!E:H,4,FALSE)</f>
        <v>29.96938 , 76.86055</v>
      </c>
      <c r="H307" s="1">
        <v>45573</v>
      </c>
      <c r="I307" s="1">
        <v>45573</v>
      </c>
      <c r="J307">
        <v>100</v>
      </c>
      <c r="K307">
        <v>99.408000000000001</v>
      </c>
      <c r="L307">
        <v>99.432000000000002</v>
      </c>
      <c r="M307">
        <v>100</v>
      </c>
      <c r="N307">
        <v>95.652000000000001</v>
      </c>
      <c r="O307">
        <v>95.652000000000001</v>
      </c>
      <c r="P307">
        <v>100</v>
      </c>
      <c r="Q307">
        <v>95.652000000000001</v>
      </c>
      <c r="R307">
        <v>95.652000000000001</v>
      </c>
      <c r="S307">
        <v>20</v>
      </c>
      <c r="T307">
        <v>16.667000000000002</v>
      </c>
      <c r="U307">
        <v>7.1429999999999998</v>
      </c>
      <c r="V307">
        <f t="shared" si="12"/>
        <v>80</v>
      </c>
      <c r="W307">
        <f t="shared" si="13"/>
        <v>76.844750000000005</v>
      </c>
      <c r="X307">
        <f t="shared" si="14"/>
        <v>74.469749999999991</v>
      </c>
      <c r="Y307">
        <v>13</v>
      </c>
      <c r="Z307" s="2" t="s">
        <v>300</v>
      </c>
    </row>
    <row r="308" spans="1:26" x14ac:dyDescent="0.25">
      <c r="A308">
        <v>398</v>
      </c>
      <c r="B308">
        <v>38</v>
      </c>
      <c r="C308" t="s">
        <v>22</v>
      </c>
      <c r="D308" t="s">
        <v>23</v>
      </c>
      <c r="E308" t="s">
        <v>77</v>
      </c>
      <c r="F308" t="s">
        <v>322</v>
      </c>
      <c r="G308" t="str">
        <f>VLOOKUP(F308,Hospitals!E:H,4,FALSE)</f>
        <v>30.47483 , 77.11614</v>
      </c>
      <c r="H308" s="1">
        <v>45426</v>
      </c>
      <c r="I308" s="1">
        <v>45426</v>
      </c>
      <c r="J308">
        <v>73.248000000000005</v>
      </c>
      <c r="K308">
        <v>69.822000000000003</v>
      </c>
      <c r="L308">
        <v>67.045000000000002</v>
      </c>
      <c r="M308">
        <v>76.471000000000004</v>
      </c>
      <c r="N308">
        <v>56.521999999999998</v>
      </c>
      <c r="O308">
        <v>56.521999999999998</v>
      </c>
      <c r="P308">
        <v>76.471000000000004</v>
      </c>
      <c r="Q308">
        <v>56.521999999999998</v>
      </c>
      <c r="R308">
        <v>56.521999999999998</v>
      </c>
      <c r="S308">
        <v>30</v>
      </c>
      <c r="T308">
        <v>16.667000000000002</v>
      </c>
      <c r="U308">
        <v>7.1429999999999998</v>
      </c>
      <c r="V308">
        <f t="shared" si="12"/>
        <v>64.047499999999999</v>
      </c>
      <c r="W308">
        <f t="shared" si="13"/>
        <v>49.883249999999997</v>
      </c>
      <c r="X308">
        <f t="shared" si="14"/>
        <v>46.808</v>
      </c>
      <c r="Y308">
        <v>13</v>
      </c>
      <c r="Z308" s="2" t="s">
        <v>26</v>
      </c>
    </row>
    <row r="309" spans="1:26" x14ac:dyDescent="0.25">
      <c r="A309">
        <v>735</v>
      </c>
      <c r="B309">
        <v>38</v>
      </c>
      <c r="C309" t="s">
        <v>22</v>
      </c>
      <c r="D309" t="s">
        <v>23</v>
      </c>
      <c r="E309" t="s">
        <v>77</v>
      </c>
      <c r="F309" t="s">
        <v>322</v>
      </c>
      <c r="G309" t="str">
        <f>VLOOKUP(F309,Hospitals!E:H,4,FALSE)</f>
        <v>30.47483 , 77.11614</v>
      </c>
      <c r="H309" s="1">
        <v>45426</v>
      </c>
      <c r="I309" t="s">
        <v>35</v>
      </c>
      <c r="J309">
        <v>73.248000000000005</v>
      </c>
      <c r="K309">
        <v>69.822000000000003</v>
      </c>
      <c r="L309">
        <v>67.045000000000002</v>
      </c>
      <c r="M309">
        <v>76.471000000000004</v>
      </c>
      <c r="N309">
        <v>56.521999999999998</v>
      </c>
      <c r="O309">
        <v>56.521999999999998</v>
      </c>
      <c r="P309">
        <v>76.471000000000004</v>
      </c>
      <c r="Q309">
        <v>56.521999999999998</v>
      </c>
      <c r="R309">
        <v>56.521999999999998</v>
      </c>
      <c r="S309">
        <v>30</v>
      </c>
      <c r="T309">
        <v>16.667000000000002</v>
      </c>
      <c r="U309">
        <v>7.1429999999999998</v>
      </c>
      <c r="V309">
        <f t="shared" si="12"/>
        <v>64.047499999999999</v>
      </c>
      <c r="W309">
        <f t="shared" si="13"/>
        <v>49.883249999999997</v>
      </c>
      <c r="X309">
        <f t="shared" si="14"/>
        <v>46.808</v>
      </c>
      <c r="Y309">
        <v>13</v>
      </c>
      <c r="Z309" s="2" t="s">
        <v>26</v>
      </c>
    </row>
    <row r="310" spans="1:26" x14ac:dyDescent="0.25">
      <c r="A310">
        <v>1108</v>
      </c>
      <c r="B310">
        <v>382</v>
      </c>
      <c r="C310" t="s">
        <v>22</v>
      </c>
      <c r="D310" t="s">
        <v>298</v>
      </c>
      <c r="E310" t="s">
        <v>30</v>
      </c>
      <c r="F310" t="s">
        <v>323</v>
      </c>
      <c r="G310" t="str">
        <f>VLOOKUP(F310,Hospitals!E:H,4,FALSE)</f>
        <v>30.15096 , 76.86127</v>
      </c>
      <c r="H310" s="1">
        <v>45639</v>
      </c>
      <c r="I310" s="1">
        <v>45639</v>
      </c>
      <c r="J310">
        <v>76.433000000000007</v>
      </c>
      <c r="K310">
        <v>75.147999999999996</v>
      </c>
      <c r="L310">
        <v>72.727000000000004</v>
      </c>
      <c r="M310">
        <v>64.706000000000003</v>
      </c>
      <c r="N310">
        <v>69.564999999999998</v>
      </c>
      <c r="O310">
        <v>69.564999999999998</v>
      </c>
      <c r="P310">
        <v>64.706000000000003</v>
      </c>
      <c r="Q310">
        <v>69.564999999999998</v>
      </c>
      <c r="R310">
        <v>69.564999999999998</v>
      </c>
      <c r="S310">
        <v>30</v>
      </c>
      <c r="T310">
        <v>25</v>
      </c>
      <c r="U310">
        <v>0</v>
      </c>
      <c r="V310">
        <f t="shared" si="12"/>
        <v>58.961250000000007</v>
      </c>
      <c r="W310">
        <f t="shared" si="13"/>
        <v>59.819499999999998</v>
      </c>
      <c r="X310">
        <f t="shared" si="14"/>
        <v>52.96425</v>
      </c>
      <c r="Y310">
        <v>13</v>
      </c>
      <c r="Z310" s="2" t="s">
        <v>300</v>
      </c>
    </row>
    <row r="311" spans="1:26" x14ac:dyDescent="0.25">
      <c r="A311">
        <v>794</v>
      </c>
      <c r="B311">
        <v>382</v>
      </c>
      <c r="C311" t="s">
        <v>22</v>
      </c>
      <c r="D311" t="s">
        <v>298</v>
      </c>
      <c r="E311" t="s">
        <v>30</v>
      </c>
      <c r="F311" t="s">
        <v>323</v>
      </c>
      <c r="G311" t="str">
        <f>VLOOKUP(F311,Hospitals!E:H,4,FALSE)</f>
        <v>30.15096 , 76.86127</v>
      </c>
      <c r="H311" s="1">
        <v>45561</v>
      </c>
      <c r="I311" s="1">
        <v>45561</v>
      </c>
      <c r="J311">
        <v>76.433000000000007</v>
      </c>
      <c r="K311">
        <v>75.147999999999996</v>
      </c>
      <c r="L311">
        <v>72.727000000000004</v>
      </c>
      <c r="M311">
        <v>64.706000000000003</v>
      </c>
      <c r="N311">
        <v>69.564999999999998</v>
      </c>
      <c r="O311">
        <v>69.564999999999998</v>
      </c>
      <c r="P311">
        <v>64.706000000000003</v>
      </c>
      <c r="Q311">
        <v>69.564999999999998</v>
      </c>
      <c r="R311">
        <v>69.564999999999998</v>
      </c>
      <c r="S311">
        <v>30</v>
      </c>
      <c r="T311">
        <v>25</v>
      </c>
      <c r="U311">
        <v>0</v>
      </c>
      <c r="V311">
        <f t="shared" si="12"/>
        <v>58.961250000000007</v>
      </c>
      <c r="W311">
        <f t="shared" si="13"/>
        <v>59.819499999999998</v>
      </c>
      <c r="X311">
        <f t="shared" si="14"/>
        <v>52.96425</v>
      </c>
      <c r="Y311">
        <v>13</v>
      </c>
      <c r="Z311" s="2" t="s">
        <v>300</v>
      </c>
    </row>
    <row r="312" spans="1:26" x14ac:dyDescent="0.25">
      <c r="A312">
        <v>808</v>
      </c>
      <c r="B312">
        <v>386</v>
      </c>
      <c r="C312">
        <v>13</v>
      </c>
      <c r="D312" s="2" t="s">
        <v>300</v>
      </c>
      <c r="E312" t="s">
        <v>77</v>
      </c>
      <c r="F312" t="s">
        <v>324</v>
      </c>
      <c r="G312" t="str">
        <f>VLOOKUP(F312,Hospitals!E:H,4,FALSE)</f>
        <v>30.00371 , 77.01655</v>
      </c>
      <c r="H312" s="1">
        <v>45552</v>
      </c>
      <c r="I312" s="1">
        <v>45552</v>
      </c>
      <c r="J312">
        <v>64.331000000000003</v>
      </c>
      <c r="K312">
        <v>61.537999999999997</v>
      </c>
      <c r="L312">
        <v>59.091000000000001</v>
      </c>
      <c r="M312">
        <v>88.234999999999999</v>
      </c>
      <c r="N312">
        <v>78.260999999999996</v>
      </c>
      <c r="O312">
        <v>78.260999999999996</v>
      </c>
      <c r="P312">
        <v>88.234999999999999</v>
      </c>
      <c r="Q312">
        <v>78.260999999999996</v>
      </c>
      <c r="R312">
        <v>78.260999999999996</v>
      </c>
      <c r="S312">
        <v>20</v>
      </c>
      <c r="T312">
        <v>8.3330000000000002</v>
      </c>
      <c r="U312">
        <v>7.1429999999999998</v>
      </c>
      <c r="V312">
        <f t="shared" si="12"/>
        <v>65.200249999999997</v>
      </c>
      <c r="W312">
        <f t="shared" si="13"/>
        <v>56.598249999999993</v>
      </c>
      <c r="X312">
        <f t="shared" si="14"/>
        <v>55.689</v>
      </c>
      <c r="Y312">
        <v>13</v>
      </c>
      <c r="Z312" s="2" t="s">
        <v>300</v>
      </c>
    </row>
    <row r="313" spans="1:26" x14ac:dyDescent="0.25">
      <c r="A313">
        <v>1117</v>
      </c>
      <c r="B313">
        <v>387</v>
      </c>
      <c r="C313" t="s">
        <v>22</v>
      </c>
      <c r="D313" t="s">
        <v>325</v>
      </c>
      <c r="E313" t="s">
        <v>24</v>
      </c>
      <c r="F313" t="s">
        <v>326</v>
      </c>
      <c r="G313" t="e">
        <f>VLOOKUP(F313,Hospitals!E:H,4,FALSE)</f>
        <v>#N/A</v>
      </c>
      <c r="H313" s="1">
        <v>45646</v>
      </c>
      <c r="I313" t="s">
        <v>35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f t="shared" si="12"/>
        <v>0</v>
      </c>
      <c r="W313">
        <f t="shared" si="13"/>
        <v>0</v>
      </c>
      <c r="X313">
        <f t="shared" si="14"/>
        <v>0</v>
      </c>
      <c r="Y313">
        <v>13</v>
      </c>
      <c r="Z313" s="2" t="s">
        <v>327</v>
      </c>
    </row>
    <row r="314" spans="1:26" x14ac:dyDescent="0.25">
      <c r="A314">
        <v>1098</v>
      </c>
      <c r="B314">
        <v>39</v>
      </c>
      <c r="C314" t="s">
        <v>22</v>
      </c>
      <c r="D314" t="s">
        <v>328</v>
      </c>
      <c r="E314" t="s">
        <v>30</v>
      </c>
      <c r="F314" t="s">
        <v>329</v>
      </c>
      <c r="G314" t="str">
        <f>VLOOKUP(F314,Hospitals!E:H,4,FALSE)</f>
        <v>28.80237 , 76.14358</v>
      </c>
      <c r="H314" s="1">
        <v>45689</v>
      </c>
      <c r="I314" s="1">
        <v>45689</v>
      </c>
      <c r="J314">
        <v>10.191000000000001</v>
      </c>
      <c r="K314">
        <v>9.4670000000000005</v>
      </c>
      <c r="L314">
        <v>9.0909999999999993</v>
      </c>
      <c r="M314">
        <v>11.765000000000001</v>
      </c>
      <c r="N314">
        <v>8.6959999999999997</v>
      </c>
      <c r="O314">
        <v>8.6959999999999997</v>
      </c>
      <c r="P314">
        <v>11.765000000000001</v>
      </c>
      <c r="Q314">
        <v>8.6959999999999997</v>
      </c>
      <c r="R314">
        <v>8.6959999999999997</v>
      </c>
      <c r="S314">
        <v>0</v>
      </c>
      <c r="T314">
        <v>0</v>
      </c>
      <c r="U314">
        <v>0</v>
      </c>
      <c r="V314">
        <f t="shared" si="12"/>
        <v>8.4302500000000009</v>
      </c>
      <c r="W314">
        <f t="shared" si="13"/>
        <v>6.7147500000000004</v>
      </c>
      <c r="X314">
        <f t="shared" si="14"/>
        <v>6.6207499999999992</v>
      </c>
      <c r="Y314">
        <v>13</v>
      </c>
      <c r="Z314" s="2" t="s">
        <v>330</v>
      </c>
    </row>
    <row r="315" spans="1:26" x14ac:dyDescent="0.25">
      <c r="A315">
        <v>1070</v>
      </c>
      <c r="B315">
        <v>393</v>
      </c>
      <c r="C315" t="s">
        <v>22</v>
      </c>
      <c r="D315" t="s">
        <v>325</v>
      </c>
      <c r="E315" t="s">
        <v>62</v>
      </c>
      <c r="F315" t="s">
        <v>331</v>
      </c>
      <c r="G315" t="str">
        <f>VLOOKUP(F315,Hospitals!E:H,4,FALSE)</f>
        <v>28.26219 , 76.57194</v>
      </c>
      <c r="H315" s="1">
        <v>45635</v>
      </c>
      <c r="I315" t="s">
        <v>35</v>
      </c>
      <c r="J315">
        <v>0</v>
      </c>
      <c r="K315">
        <v>0</v>
      </c>
      <c r="L315">
        <v>0</v>
      </c>
      <c r="M315">
        <v>76.471000000000004</v>
      </c>
      <c r="N315">
        <v>65.216999999999999</v>
      </c>
      <c r="O315">
        <v>65.216999999999999</v>
      </c>
      <c r="P315">
        <v>76.471000000000004</v>
      </c>
      <c r="Q315">
        <v>65.216999999999999</v>
      </c>
      <c r="R315">
        <v>65.216999999999999</v>
      </c>
      <c r="S315">
        <v>10</v>
      </c>
      <c r="T315">
        <v>8.3330000000000002</v>
      </c>
      <c r="U315">
        <v>0</v>
      </c>
      <c r="V315">
        <f t="shared" si="12"/>
        <v>40.735500000000002</v>
      </c>
      <c r="W315">
        <f t="shared" si="13"/>
        <v>34.691749999999999</v>
      </c>
      <c r="X315">
        <f t="shared" si="14"/>
        <v>32.608499999999999</v>
      </c>
      <c r="Y315">
        <v>13</v>
      </c>
      <c r="Z315" s="2" t="s">
        <v>327</v>
      </c>
    </row>
    <row r="316" spans="1:26" x14ac:dyDescent="0.25">
      <c r="A316">
        <v>767</v>
      </c>
      <c r="B316">
        <v>4</v>
      </c>
      <c r="C316" t="s">
        <v>22</v>
      </c>
      <c r="D316" t="s">
        <v>23</v>
      </c>
      <c r="E316" t="s">
        <v>24</v>
      </c>
      <c r="F316" t="s">
        <v>332</v>
      </c>
      <c r="G316" t="str">
        <f>VLOOKUP(F316,Hospitals!E:H,4,FALSE)</f>
        <v>30.22229 , 77.0622</v>
      </c>
      <c r="H316" s="1">
        <v>45440</v>
      </c>
      <c r="I316" s="1">
        <v>45440</v>
      </c>
      <c r="J316">
        <v>49.682000000000002</v>
      </c>
      <c r="K316">
        <v>46.746000000000002</v>
      </c>
      <c r="L316">
        <v>44.886000000000003</v>
      </c>
      <c r="M316">
        <v>64.706000000000003</v>
      </c>
      <c r="N316">
        <v>47.826000000000001</v>
      </c>
      <c r="O316">
        <v>47.826000000000001</v>
      </c>
      <c r="P316">
        <v>64.706000000000003</v>
      </c>
      <c r="Q316">
        <v>47.826000000000001</v>
      </c>
      <c r="R316">
        <v>47.826000000000001</v>
      </c>
      <c r="S316">
        <v>0</v>
      </c>
      <c r="T316">
        <v>0</v>
      </c>
      <c r="U316">
        <v>0</v>
      </c>
      <c r="V316">
        <f t="shared" si="12"/>
        <v>44.773499999999999</v>
      </c>
      <c r="W316">
        <f t="shared" si="13"/>
        <v>35.599499999999999</v>
      </c>
      <c r="X316">
        <f t="shared" si="14"/>
        <v>35.134500000000003</v>
      </c>
      <c r="Y316">
        <v>13</v>
      </c>
      <c r="Z316" s="2" t="s">
        <v>26</v>
      </c>
    </row>
    <row r="317" spans="1:26" x14ac:dyDescent="0.25">
      <c r="A317">
        <v>581</v>
      </c>
      <c r="B317">
        <v>414</v>
      </c>
      <c r="C317" t="s">
        <v>22</v>
      </c>
      <c r="D317" t="s">
        <v>333</v>
      </c>
      <c r="E317" t="s">
        <v>24</v>
      </c>
      <c r="F317" t="s">
        <v>334</v>
      </c>
      <c r="G317" t="str">
        <f>VLOOKUP(F317,Hospitals!E:H,4,FALSE)</f>
        <v>28.42952 , 77.02118</v>
      </c>
      <c r="H317" s="1">
        <v>45385</v>
      </c>
      <c r="I317" s="1">
        <v>45385</v>
      </c>
      <c r="J317">
        <v>71.337999999999994</v>
      </c>
      <c r="K317">
        <v>66.864000000000004</v>
      </c>
      <c r="L317">
        <v>64.204999999999998</v>
      </c>
      <c r="M317">
        <v>35.293999999999997</v>
      </c>
      <c r="N317">
        <v>30.434999999999999</v>
      </c>
      <c r="O317">
        <v>30.434999999999999</v>
      </c>
      <c r="P317">
        <v>35.293999999999997</v>
      </c>
      <c r="Q317">
        <v>30.434999999999999</v>
      </c>
      <c r="R317">
        <v>30.434999999999999</v>
      </c>
      <c r="S317">
        <v>10</v>
      </c>
      <c r="T317">
        <v>8.3330000000000002</v>
      </c>
      <c r="U317">
        <v>0</v>
      </c>
      <c r="V317">
        <f t="shared" si="12"/>
        <v>37.981499999999997</v>
      </c>
      <c r="W317">
        <f t="shared" si="13"/>
        <v>34.016750000000002</v>
      </c>
      <c r="X317">
        <f t="shared" si="14"/>
        <v>31.268750000000001</v>
      </c>
      <c r="Y317">
        <v>13</v>
      </c>
      <c r="Z317" s="2" t="s">
        <v>335</v>
      </c>
    </row>
    <row r="318" spans="1:26" x14ac:dyDescent="0.25">
      <c r="A318">
        <v>579</v>
      </c>
      <c r="B318">
        <v>415</v>
      </c>
      <c r="C318" t="s">
        <v>22</v>
      </c>
      <c r="D318" t="s">
        <v>333</v>
      </c>
      <c r="E318" t="s">
        <v>24</v>
      </c>
      <c r="F318" t="s">
        <v>336</v>
      </c>
      <c r="G318" t="str">
        <f>VLOOKUP(F318,Hospitals!E:H,4,FALSE)</f>
        <v>28.99308 , 77.01507</v>
      </c>
      <c r="H318" s="1">
        <v>45385</v>
      </c>
      <c r="I318" s="1">
        <v>45385</v>
      </c>
      <c r="J318">
        <v>26.114999999999998</v>
      </c>
      <c r="K318">
        <v>25.443999999999999</v>
      </c>
      <c r="L318">
        <v>24.431999999999999</v>
      </c>
      <c r="M318">
        <v>23.529</v>
      </c>
      <c r="N318">
        <v>17.390999999999998</v>
      </c>
      <c r="O318">
        <v>17.390999999999998</v>
      </c>
      <c r="P318">
        <v>23.529</v>
      </c>
      <c r="Q318">
        <v>17.390999999999998</v>
      </c>
      <c r="R318">
        <v>17.390999999999998</v>
      </c>
      <c r="S318">
        <v>0</v>
      </c>
      <c r="T318">
        <v>0</v>
      </c>
      <c r="U318">
        <v>0</v>
      </c>
      <c r="V318">
        <f t="shared" si="12"/>
        <v>18.29325</v>
      </c>
      <c r="W318">
        <f t="shared" si="13"/>
        <v>15.056499999999998</v>
      </c>
      <c r="X318">
        <f t="shared" si="14"/>
        <v>14.803499999999998</v>
      </c>
      <c r="Y318">
        <v>13</v>
      </c>
      <c r="Z318" s="2" t="s">
        <v>335</v>
      </c>
    </row>
    <row r="319" spans="1:26" x14ac:dyDescent="0.25">
      <c r="A319">
        <v>582</v>
      </c>
      <c r="B319">
        <v>416</v>
      </c>
      <c r="C319" t="s">
        <v>22</v>
      </c>
      <c r="D319" t="s">
        <v>333</v>
      </c>
      <c r="E319" t="s">
        <v>24</v>
      </c>
      <c r="F319" t="s">
        <v>337</v>
      </c>
      <c r="G319" t="str">
        <f>VLOOKUP(F319,Hospitals!E:H,4,FALSE)</f>
        <v>27.86685 , 77.22146</v>
      </c>
      <c r="H319" s="1">
        <v>45385</v>
      </c>
      <c r="I319" s="1">
        <v>45385</v>
      </c>
      <c r="J319">
        <v>51.591999999999999</v>
      </c>
      <c r="K319">
        <v>49.112000000000002</v>
      </c>
      <c r="L319">
        <v>48.295000000000002</v>
      </c>
      <c r="M319">
        <v>94.117999999999995</v>
      </c>
      <c r="N319">
        <v>91.304000000000002</v>
      </c>
      <c r="O319">
        <v>91.304000000000002</v>
      </c>
      <c r="P319">
        <v>94.117999999999995</v>
      </c>
      <c r="Q319">
        <v>91.304000000000002</v>
      </c>
      <c r="R319">
        <v>91.304000000000002</v>
      </c>
      <c r="S319">
        <v>10</v>
      </c>
      <c r="T319">
        <v>8.3330000000000002</v>
      </c>
      <c r="U319">
        <v>0</v>
      </c>
      <c r="V319">
        <f t="shared" si="12"/>
        <v>62.456999999999994</v>
      </c>
      <c r="W319">
        <f t="shared" si="13"/>
        <v>60.013249999999999</v>
      </c>
      <c r="X319">
        <f t="shared" si="14"/>
        <v>57.725749999999998</v>
      </c>
      <c r="Y319">
        <v>13</v>
      </c>
      <c r="Z319" s="2" t="s">
        <v>335</v>
      </c>
    </row>
    <row r="320" spans="1:26" x14ac:dyDescent="0.25">
      <c r="A320">
        <v>936</v>
      </c>
      <c r="B320">
        <v>416</v>
      </c>
      <c r="C320" t="s">
        <v>22</v>
      </c>
      <c r="D320" t="s">
        <v>333</v>
      </c>
      <c r="E320" t="s">
        <v>24</v>
      </c>
      <c r="F320" t="s">
        <v>337</v>
      </c>
      <c r="G320" t="str">
        <f>VLOOKUP(F320,Hospitals!E:H,4,FALSE)</f>
        <v>27.86685 , 77.22146</v>
      </c>
      <c r="H320" s="1">
        <v>45502</v>
      </c>
      <c r="I320" t="s">
        <v>35</v>
      </c>
      <c r="J320">
        <v>51.591999999999999</v>
      </c>
      <c r="K320">
        <v>49.112000000000002</v>
      </c>
      <c r="L320">
        <v>48.295000000000002</v>
      </c>
      <c r="M320">
        <v>94.117999999999995</v>
      </c>
      <c r="N320">
        <v>91.304000000000002</v>
      </c>
      <c r="O320">
        <v>91.304000000000002</v>
      </c>
      <c r="P320">
        <v>94.117999999999995</v>
      </c>
      <c r="Q320">
        <v>91.304000000000002</v>
      </c>
      <c r="R320">
        <v>91.304000000000002</v>
      </c>
      <c r="S320">
        <v>10</v>
      </c>
      <c r="T320">
        <v>8.3330000000000002</v>
      </c>
      <c r="U320">
        <v>0</v>
      </c>
      <c r="V320">
        <f t="shared" si="12"/>
        <v>62.456999999999994</v>
      </c>
      <c r="W320">
        <f t="shared" si="13"/>
        <v>60.013249999999999</v>
      </c>
      <c r="X320">
        <f t="shared" si="14"/>
        <v>57.725749999999998</v>
      </c>
      <c r="Y320">
        <v>13</v>
      </c>
      <c r="Z320" s="2" t="s">
        <v>335</v>
      </c>
    </row>
    <row r="321" spans="1:26" x14ac:dyDescent="0.25">
      <c r="A321">
        <v>935</v>
      </c>
      <c r="B321">
        <v>416</v>
      </c>
      <c r="C321" t="s">
        <v>22</v>
      </c>
      <c r="D321" t="s">
        <v>333</v>
      </c>
      <c r="E321" t="s">
        <v>24</v>
      </c>
      <c r="F321" t="s">
        <v>337</v>
      </c>
      <c r="G321" t="str">
        <f>VLOOKUP(F321,Hospitals!E:H,4,FALSE)</f>
        <v>27.86685 , 77.22146</v>
      </c>
      <c r="H321" s="1">
        <v>45502</v>
      </c>
      <c r="I321" s="1">
        <v>45502</v>
      </c>
      <c r="J321">
        <v>51.591999999999999</v>
      </c>
      <c r="K321">
        <v>49.112000000000002</v>
      </c>
      <c r="L321">
        <v>48.295000000000002</v>
      </c>
      <c r="M321">
        <v>94.117999999999995</v>
      </c>
      <c r="N321">
        <v>91.304000000000002</v>
      </c>
      <c r="O321">
        <v>91.304000000000002</v>
      </c>
      <c r="P321">
        <v>94.117999999999995</v>
      </c>
      <c r="Q321">
        <v>91.304000000000002</v>
      </c>
      <c r="R321">
        <v>91.304000000000002</v>
      </c>
      <c r="S321">
        <v>10</v>
      </c>
      <c r="T321">
        <v>8.3330000000000002</v>
      </c>
      <c r="U321">
        <v>0</v>
      </c>
      <c r="V321">
        <f t="shared" si="12"/>
        <v>62.456999999999994</v>
      </c>
      <c r="W321">
        <f t="shared" si="13"/>
        <v>60.013249999999999</v>
      </c>
      <c r="X321">
        <f t="shared" si="14"/>
        <v>57.725749999999998</v>
      </c>
      <c r="Y321">
        <v>13</v>
      </c>
      <c r="Z321" s="2" t="s">
        <v>335</v>
      </c>
    </row>
    <row r="322" spans="1:26" x14ac:dyDescent="0.25">
      <c r="A322">
        <v>632</v>
      </c>
      <c r="B322">
        <v>417</v>
      </c>
      <c r="C322" t="s">
        <v>22</v>
      </c>
      <c r="D322" t="s">
        <v>333</v>
      </c>
      <c r="E322" t="s">
        <v>24</v>
      </c>
      <c r="F322" t="s">
        <v>338</v>
      </c>
      <c r="G322" t="str">
        <f>VLOOKUP(F322,Hospitals!E:H,4,FALSE)</f>
        <v>28.43279 , 77.01791</v>
      </c>
      <c r="H322" s="1">
        <v>45394</v>
      </c>
      <c r="I322" t="s">
        <v>35</v>
      </c>
      <c r="J322">
        <v>0</v>
      </c>
      <c r="K322">
        <v>0</v>
      </c>
      <c r="L322">
        <v>0</v>
      </c>
      <c r="M322">
        <v>88.234999999999999</v>
      </c>
      <c r="N322">
        <v>78.260999999999996</v>
      </c>
      <c r="O322">
        <v>78.260999999999996</v>
      </c>
      <c r="P322">
        <v>88.234999999999999</v>
      </c>
      <c r="Q322">
        <v>78.260999999999996</v>
      </c>
      <c r="R322">
        <v>78.260999999999996</v>
      </c>
      <c r="S322">
        <v>10</v>
      </c>
      <c r="T322">
        <v>8.3330000000000002</v>
      </c>
      <c r="U322">
        <v>7.1429999999999998</v>
      </c>
      <c r="V322">
        <f t="shared" si="12"/>
        <v>46.6175</v>
      </c>
      <c r="W322">
        <f t="shared" si="13"/>
        <v>41.213749999999997</v>
      </c>
      <c r="X322">
        <f t="shared" si="14"/>
        <v>40.916249999999998</v>
      </c>
      <c r="Y322">
        <v>13</v>
      </c>
      <c r="Z322" s="2" t="s">
        <v>335</v>
      </c>
    </row>
    <row r="323" spans="1:26" x14ac:dyDescent="0.25">
      <c r="A323">
        <v>576</v>
      </c>
      <c r="B323">
        <v>418</v>
      </c>
      <c r="C323" t="s">
        <v>22</v>
      </c>
      <c r="D323" t="s">
        <v>333</v>
      </c>
      <c r="E323" t="s">
        <v>24</v>
      </c>
      <c r="F323" t="s">
        <v>339</v>
      </c>
      <c r="G323" t="str">
        <f>VLOOKUP(F323,Hospitals!E:H,4,FALSE)</f>
        <v>27.78882 , 76.94777</v>
      </c>
      <c r="H323" s="1">
        <v>45394</v>
      </c>
      <c r="I323" s="1">
        <v>45394</v>
      </c>
      <c r="J323">
        <v>43.311999999999998</v>
      </c>
      <c r="K323">
        <v>40.828000000000003</v>
      </c>
      <c r="L323">
        <v>39.204999999999998</v>
      </c>
      <c r="M323">
        <v>35.293999999999997</v>
      </c>
      <c r="N323">
        <v>26.087</v>
      </c>
      <c r="O323">
        <v>26.087</v>
      </c>
      <c r="P323">
        <v>35.293999999999997</v>
      </c>
      <c r="Q323">
        <v>26.087</v>
      </c>
      <c r="R323">
        <v>26.087</v>
      </c>
      <c r="S323">
        <v>10</v>
      </c>
      <c r="T323">
        <v>8.3330000000000002</v>
      </c>
      <c r="U323">
        <v>0</v>
      </c>
      <c r="V323">
        <f t="shared" ref="V323:V386" si="15">AVERAGE(J323,M323,P323,S323)</f>
        <v>30.974999999999998</v>
      </c>
      <c r="W323">
        <f t="shared" ref="W323:W386" si="16">AVERAGE(K323,N323,Q323,T323)</f>
        <v>25.333750000000002</v>
      </c>
      <c r="X323">
        <f t="shared" ref="X323:X386" si="17">AVERAGE(L323,O323,R323,U323)</f>
        <v>22.844750000000001</v>
      </c>
      <c r="Y323">
        <v>13</v>
      </c>
      <c r="Z323" s="2" t="s">
        <v>335</v>
      </c>
    </row>
    <row r="324" spans="1:26" x14ac:dyDescent="0.25">
      <c r="A324">
        <v>1003</v>
      </c>
      <c r="B324">
        <v>419</v>
      </c>
      <c r="C324" t="s">
        <v>22</v>
      </c>
      <c r="D324" t="s">
        <v>333</v>
      </c>
      <c r="E324" t="s">
        <v>62</v>
      </c>
      <c r="F324" t="s">
        <v>340</v>
      </c>
      <c r="G324" t="e">
        <f>VLOOKUP(F324,Hospitals!E:H,4,FALSE)</f>
        <v>#N/A</v>
      </c>
      <c r="H324" s="1">
        <v>45534</v>
      </c>
      <c r="I324" t="s">
        <v>35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f t="shared" si="15"/>
        <v>0</v>
      </c>
      <c r="W324">
        <f t="shared" si="16"/>
        <v>0</v>
      </c>
      <c r="X324">
        <f t="shared" si="17"/>
        <v>0</v>
      </c>
      <c r="Y324">
        <v>13</v>
      </c>
      <c r="Z324" s="2" t="s">
        <v>335</v>
      </c>
    </row>
    <row r="325" spans="1:26" x14ac:dyDescent="0.25">
      <c r="A325">
        <v>852</v>
      </c>
      <c r="B325">
        <v>42</v>
      </c>
      <c r="C325" t="s">
        <v>22</v>
      </c>
      <c r="D325" t="s">
        <v>328</v>
      </c>
      <c r="E325" t="s">
        <v>30</v>
      </c>
      <c r="F325" t="s">
        <v>341</v>
      </c>
      <c r="G325" t="str">
        <f>VLOOKUP(F325,Hospitals!E:H,4,FALSE)</f>
        <v>28.80237 , 76.14358</v>
      </c>
      <c r="H325" s="1">
        <v>45491</v>
      </c>
      <c r="I325" s="1">
        <v>45491</v>
      </c>
      <c r="J325">
        <v>47.134</v>
      </c>
      <c r="K325">
        <v>44.97</v>
      </c>
      <c r="L325">
        <v>44.317999999999998</v>
      </c>
      <c r="M325">
        <v>58.823999999999998</v>
      </c>
      <c r="N325">
        <v>56.521999999999998</v>
      </c>
      <c r="O325">
        <v>56.521999999999998</v>
      </c>
      <c r="P325">
        <v>58.823999999999998</v>
      </c>
      <c r="Q325">
        <v>56.521999999999998</v>
      </c>
      <c r="R325">
        <v>56.521999999999998</v>
      </c>
      <c r="S325">
        <v>10</v>
      </c>
      <c r="T325">
        <v>8.3330000000000002</v>
      </c>
      <c r="U325">
        <v>0</v>
      </c>
      <c r="V325">
        <f t="shared" si="15"/>
        <v>43.695499999999996</v>
      </c>
      <c r="W325">
        <f t="shared" si="16"/>
        <v>41.586749999999995</v>
      </c>
      <c r="X325">
        <f t="shared" si="17"/>
        <v>39.340499999999999</v>
      </c>
      <c r="Y325">
        <v>13</v>
      </c>
      <c r="Z325" s="2" t="s">
        <v>330</v>
      </c>
    </row>
    <row r="326" spans="1:26" x14ac:dyDescent="0.25">
      <c r="A326">
        <v>580</v>
      </c>
      <c r="B326">
        <v>420</v>
      </c>
      <c r="C326" t="s">
        <v>22</v>
      </c>
      <c r="D326" t="s">
        <v>333</v>
      </c>
      <c r="E326" t="s">
        <v>27</v>
      </c>
      <c r="F326" t="s">
        <v>342</v>
      </c>
      <c r="G326" t="str">
        <f>VLOOKUP(F326,Hospitals!E:H,4,FALSE)</f>
        <v>28.42952 , 77.02118</v>
      </c>
      <c r="H326" s="1">
        <v>45387</v>
      </c>
      <c r="I326" s="1">
        <v>45387</v>
      </c>
      <c r="J326">
        <v>27.388999999999999</v>
      </c>
      <c r="K326">
        <v>26.036000000000001</v>
      </c>
      <c r="L326">
        <v>25</v>
      </c>
      <c r="M326">
        <v>5.8819999999999997</v>
      </c>
      <c r="N326">
        <v>4.3479999999999999</v>
      </c>
      <c r="O326">
        <v>4.3479999999999999</v>
      </c>
      <c r="P326">
        <v>5.8819999999999997</v>
      </c>
      <c r="Q326">
        <v>4.3479999999999999</v>
      </c>
      <c r="R326">
        <v>4.3479999999999999</v>
      </c>
      <c r="S326">
        <v>10</v>
      </c>
      <c r="T326">
        <v>8.3330000000000002</v>
      </c>
      <c r="U326">
        <v>0</v>
      </c>
      <c r="V326">
        <f t="shared" si="15"/>
        <v>12.28825</v>
      </c>
      <c r="W326">
        <f t="shared" si="16"/>
        <v>10.766249999999999</v>
      </c>
      <c r="X326">
        <f t="shared" si="17"/>
        <v>8.4239999999999995</v>
      </c>
      <c r="Y326">
        <v>13</v>
      </c>
      <c r="Z326" s="2" t="s">
        <v>335</v>
      </c>
    </row>
    <row r="327" spans="1:26" x14ac:dyDescent="0.25">
      <c r="A327">
        <v>585</v>
      </c>
      <c r="B327">
        <v>421</v>
      </c>
      <c r="C327" t="s">
        <v>22</v>
      </c>
      <c r="D327" t="s">
        <v>333</v>
      </c>
      <c r="E327" t="s">
        <v>27</v>
      </c>
      <c r="F327" t="s">
        <v>343</v>
      </c>
      <c r="G327" t="str">
        <f>VLOOKUP(F327,Hospitals!E:H,4,FALSE)</f>
        <v>27.80045 , 76.95256</v>
      </c>
      <c r="H327" s="1">
        <v>45390</v>
      </c>
      <c r="I327" s="1">
        <v>45390</v>
      </c>
      <c r="J327">
        <v>42.037999999999997</v>
      </c>
      <c r="K327">
        <v>39.052999999999997</v>
      </c>
      <c r="L327">
        <v>37.5</v>
      </c>
      <c r="M327">
        <v>17.646999999999998</v>
      </c>
      <c r="N327">
        <v>13.042999999999999</v>
      </c>
      <c r="O327">
        <v>13.042999999999999</v>
      </c>
      <c r="P327">
        <v>17.646999999999998</v>
      </c>
      <c r="Q327">
        <v>13.042999999999999</v>
      </c>
      <c r="R327">
        <v>13.042999999999999</v>
      </c>
      <c r="S327">
        <v>10</v>
      </c>
      <c r="T327">
        <v>8.3330000000000002</v>
      </c>
      <c r="U327">
        <v>0</v>
      </c>
      <c r="V327">
        <f t="shared" si="15"/>
        <v>21.832999999999998</v>
      </c>
      <c r="W327">
        <f t="shared" si="16"/>
        <v>18.367999999999999</v>
      </c>
      <c r="X327">
        <f t="shared" si="17"/>
        <v>15.8965</v>
      </c>
      <c r="Y327">
        <v>13</v>
      </c>
      <c r="Z327" s="2" t="s">
        <v>335</v>
      </c>
    </row>
    <row r="328" spans="1:26" x14ac:dyDescent="0.25">
      <c r="A328">
        <v>292</v>
      </c>
      <c r="B328">
        <v>422</v>
      </c>
      <c r="C328" t="s">
        <v>22</v>
      </c>
      <c r="D328" t="s">
        <v>333</v>
      </c>
      <c r="E328" t="s">
        <v>27</v>
      </c>
      <c r="F328" t="s">
        <v>344</v>
      </c>
      <c r="G328" t="str">
        <f>VLOOKUP(F328,Hospitals!E:H,4,FALSE)</f>
        <v>28.43279 , 77.02118</v>
      </c>
      <c r="H328" s="1">
        <v>45348</v>
      </c>
      <c r="I328" s="1">
        <v>45348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f t="shared" si="15"/>
        <v>0</v>
      </c>
      <c r="W328">
        <f t="shared" si="16"/>
        <v>0</v>
      </c>
      <c r="X328">
        <f t="shared" si="17"/>
        <v>0</v>
      </c>
      <c r="Y328">
        <v>13</v>
      </c>
      <c r="Z328" s="2" t="s">
        <v>335</v>
      </c>
    </row>
    <row r="329" spans="1:26" x14ac:dyDescent="0.25">
      <c r="A329">
        <v>294</v>
      </c>
      <c r="B329">
        <v>422</v>
      </c>
      <c r="C329" t="s">
        <v>22</v>
      </c>
      <c r="D329" t="s">
        <v>333</v>
      </c>
      <c r="E329" t="s">
        <v>27</v>
      </c>
      <c r="F329" t="s">
        <v>344</v>
      </c>
      <c r="G329" t="str">
        <f>VLOOKUP(F329,Hospitals!E:H,4,FALSE)</f>
        <v>28.43279 , 77.02118</v>
      </c>
      <c r="H329" s="1">
        <v>45394</v>
      </c>
      <c r="I329" s="1">
        <v>45394</v>
      </c>
      <c r="J329">
        <v>10.827999999999999</v>
      </c>
      <c r="K329">
        <v>10.651</v>
      </c>
      <c r="L329">
        <v>10.227</v>
      </c>
      <c r="M329">
        <v>11.765000000000001</v>
      </c>
      <c r="N329">
        <v>8.6959999999999997</v>
      </c>
      <c r="O329">
        <v>8.6959999999999997</v>
      </c>
      <c r="P329">
        <v>11.765000000000001</v>
      </c>
      <c r="Q329">
        <v>8.6959999999999997</v>
      </c>
      <c r="R329">
        <v>8.6959999999999997</v>
      </c>
      <c r="S329">
        <v>0</v>
      </c>
      <c r="T329">
        <v>0</v>
      </c>
      <c r="U329">
        <v>0</v>
      </c>
      <c r="V329">
        <f t="shared" si="15"/>
        <v>8.589500000000001</v>
      </c>
      <c r="W329">
        <f t="shared" si="16"/>
        <v>7.0107499999999998</v>
      </c>
      <c r="X329">
        <f t="shared" si="17"/>
        <v>6.9047499999999999</v>
      </c>
      <c r="Y329">
        <v>13</v>
      </c>
      <c r="Z329" s="2" t="s">
        <v>335</v>
      </c>
    </row>
    <row r="330" spans="1:26" x14ac:dyDescent="0.25">
      <c r="A330">
        <v>1019</v>
      </c>
      <c r="B330">
        <v>422</v>
      </c>
      <c r="C330" t="s">
        <v>22</v>
      </c>
      <c r="D330" t="s">
        <v>333</v>
      </c>
      <c r="E330" t="s">
        <v>27</v>
      </c>
      <c r="F330" t="s">
        <v>344</v>
      </c>
      <c r="G330" t="str">
        <f>VLOOKUP(F330,Hospitals!E:H,4,FALSE)</f>
        <v>28.43279 , 77.02118</v>
      </c>
      <c r="H330" s="1">
        <v>45544</v>
      </c>
      <c r="I330" s="1">
        <v>45544</v>
      </c>
      <c r="J330">
        <v>10.827999999999999</v>
      </c>
      <c r="K330">
        <v>10.651</v>
      </c>
      <c r="L330">
        <v>10.227</v>
      </c>
      <c r="M330">
        <v>11.765000000000001</v>
      </c>
      <c r="N330">
        <v>8.6959999999999997</v>
      </c>
      <c r="O330">
        <v>8.6959999999999997</v>
      </c>
      <c r="P330">
        <v>11.765000000000001</v>
      </c>
      <c r="Q330">
        <v>8.6959999999999997</v>
      </c>
      <c r="R330">
        <v>8.6959999999999997</v>
      </c>
      <c r="S330">
        <v>40</v>
      </c>
      <c r="T330">
        <v>25</v>
      </c>
      <c r="U330">
        <v>14.286</v>
      </c>
      <c r="V330">
        <f t="shared" si="15"/>
        <v>18.589500000000001</v>
      </c>
      <c r="W330">
        <f t="shared" si="16"/>
        <v>13.26075</v>
      </c>
      <c r="X330">
        <f t="shared" si="17"/>
        <v>10.47625</v>
      </c>
      <c r="Y330">
        <v>13</v>
      </c>
      <c r="Z330" s="2" t="s">
        <v>335</v>
      </c>
    </row>
    <row r="331" spans="1:26" x14ac:dyDescent="0.25">
      <c r="A331">
        <v>1016</v>
      </c>
      <c r="B331">
        <v>422</v>
      </c>
      <c r="C331" t="s">
        <v>22</v>
      </c>
      <c r="D331" t="s">
        <v>333</v>
      </c>
      <c r="E331" t="s">
        <v>27</v>
      </c>
      <c r="F331" t="s">
        <v>344</v>
      </c>
      <c r="G331" t="str">
        <f>VLOOKUP(F331,Hospitals!E:H,4,FALSE)</f>
        <v>28.43279 , 77.02118</v>
      </c>
      <c r="H331" s="1">
        <v>45541</v>
      </c>
      <c r="I331" s="1">
        <v>45541</v>
      </c>
      <c r="J331">
        <v>10.827999999999999</v>
      </c>
      <c r="K331">
        <v>10.651</v>
      </c>
      <c r="L331">
        <v>10.227</v>
      </c>
      <c r="M331">
        <v>11.765000000000001</v>
      </c>
      <c r="N331">
        <v>8.6959999999999997</v>
      </c>
      <c r="O331">
        <v>8.6959999999999997</v>
      </c>
      <c r="P331">
        <v>11.765000000000001</v>
      </c>
      <c r="Q331">
        <v>8.6959999999999997</v>
      </c>
      <c r="R331">
        <v>8.6959999999999997</v>
      </c>
      <c r="S331">
        <v>0</v>
      </c>
      <c r="T331">
        <v>0</v>
      </c>
      <c r="U331">
        <v>0</v>
      </c>
      <c r="V331">
        <f t="shared" si="15"/>
        <v>8.589500000000001</v>
      </c>
      <c r="W331">
        <f t="shared" si="16"/>
        <v>7.0107499999999998</v>
      </c>
      <c r="X331">
        <f t="shared" si="17"/>
        <v>6.9047499999999999</v>
      </c>
      <c r="Y331">
        <v>13</v>
      </c>
      <c r="Z331" s="2" t="s">
        <v>335</v>
      </c>
    </row>
    <row r="332" spans="1:26" x14ac:dyDescent="0.25">
      <c r="A332">
        <v>1015</v>
      </c>
      <c r="B332">
        <v>422</v>
      </c>
      <c r="C332" t="s">
        <v>22</v>
      </c>
      <c r="D332" t="s">
        <v>333</v>
      </c>
      <c r="E332" t="s">
        <v>27</v>
      </c>
      <c r="F332" t="s">
        <v>344</v>
      </c>
      <c r="G332" t="str">
        <f>VLOOKUP(F332,Hospitals!E:H,4,FALSE)</f>
        <v>28.43279 , 77.02118</v>
      </c>
      <c r="H332" s="1">
        <v>45541</v>
      </c>
      <c r="I332" s="1">
        <v>45541</v>
      </c>
      <c r="J332">
        <v>10.827999999999999</v>
      </c>
      <c r="K332">
        <v>10.651</v>
      </c>
      <c r="L332">
        <v>10.227</v>
      </c>
      <c r="M332">
        <v>11.765000000000001</v>
      </c>
      <c r="N332">
        <v>8.6959999999999997</v>
      </c>
      <c r="O332">
        <v>8.6959999999999997</v>
      </c>
      <c r="P332">
        <v>11.765000000000001</v>
      </c>
      <c r="Q332">
        <v>8.6959999999999997</v>
      </c>
      <c r="R332">
        <v>8.6959999999999997</v>
      </c>
      <c r="S332">
        <v>0</v>
      </c>
      <c r="T332">
        <v>0</v>
      </c>
      <c r="U332">
        <v>0</v>
      </c>
      <c r="V332">
        <f t="shared" si="15"/>
        <v>8.589500000000001</v>
      </c>
      <c r="W332">
        <f t="shared" si="16"/>
        <v>7.0107499999999998</v>
      </c>
      <c r="X332">
        <f t="shared" si="17"/>
        <v>6.9047499999999999</v>
      </c>
      <c r="Y332">
        <v>13</v>
      </c>
      <c r="Z332" s="2" t="s">
        <v>335</v>
      </c>
    </row>
    <row r="333" spans="1:26" x14ac:dyDescent="0.25">
      <c r="A333">
        <v>577</v>
      </c>
      <c r="B333">
        <v>423</v>
      </c>
      <c r="C333" t="s">
        <v>22</v>
      </c>
      <c r="D333" t="s">
        <v>333</v>
      </c>
      <c r="E333" t="s">
        <v>27</v>
      </c>
      <c r="F333" t="s">
        <v>345</v>
      </c>
      <c r="G333" t="str">
        <f>VLOOKUP(F333,Hospitals!E:H,4,FALSE)</f>
        <v>27.79048 , 77.33047</v>
      </c>
      <c r="H333" s="1">
        <v>45533</v>
      </c>
      <c r="I333" s="1">
        <v>45533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f t="shared" si="15"/>
        <v>0</v>
      </c>
      <c r="W333">
        <f t="shared" si="16"/>
        <v>0</v>
      </c>
      <c r="X333">
        <f t="shared" si="17"/>
        <v>0</v>
      </c>
      <c r="Y333">
        <v>13</v>
      </c>
      <c r="Z333" s="2" t="s">
        <v>335</v>
      </c>
    </row>
    <row r="334" spans="1:26" x14ac:dyDescent="0.25">
      <c r="A334">
        <v>570</v>
      </c>
      <c r="B334">
        <v>424</v>
      </c>
      <c r="C334" t="s">
        <v>22</v>
      </c>
      <c r="D334" t="s">
        <v>333</v>
      </c>
      <c r="E334" t="s">
        <v>27</v>
      </c>
      <c r="F334" t="s">
        <v>346</v>
      </c>
      <c r="G334" t="str">
        <f>VLOOKUP(F334,Hospitals!E:H,4,FALSE)</f>
        <v>28.42952 , 77.02446</v>
      </c>
      <c r="H334" s="1">
        <v>45394</v>
      </c>
      <c r="I334" s="1">
        <v>45394</v>
      </c>
      <c r="J334">
        <v>15.287000000000001</v>
      </c>
      <c r="K334">
        <v>14.201000000000001</v>
      </c>
      <c r="L334">
        <v>13.635999999999999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f t="shared" si="15"/>
        <v>3.8217500000000002</v>
      </c>
      <c r="W334">
        <f t="shared" si="16"/>
        <v>3.5502500000000001</v>
      </c>
      <c r="X334">
        <f t="shared" si="17"/>
        <v>3.4089999999999998</v>
      </c>
      <c r="Y334">
        <v>13</v>
      </c>
      <c r="Z334" s="2" t="s">
        <v>335</v>
      </c>
    </row>
    <row r="335" spans="1:26" x14ac:dyDescent="0.25">
      <c r="A335">
        <v>569</v>
      </c>
      <c r="B335">
        <v>425</v>
      </c>
      <c r="C335" t="s">
        <v>22</v>
      </c>
      <c r="D335" t="s">
        <v>333</v>
      </c>
      <c r="E335" t="s">
        <v>27</v>
      </c>
      <c r="F335" t="s">
        <v>347</v>
      </c>
      <c r="G335" t="str">
        <f>VLOOKUP(F335,Hospitals!E:H,4,FALSE)</f>
        <v>28.19402 , 77.15764</v>
      </c>
      <c r="H335" s="1">
        <v>45394</v>
      </c>
      <c r="I335" s="1">
        <v>45394</v>
      </c>
      <c r="J335">
        <v>5.0960000000000001</v>
      </c>
      <c r="K335">
        <v>4.734</v>
      </c>
      <c r="L335">
        <v>4.5449999999999999</v>
      </c>
      <c r="M335">
        <v>23.529</v>
      </c>
      <c r="N335">
        <v>17.390999999999998</v>
      </c>
      <c r="O335">
        <v>17.390999999999998</v>
      </c>
      <c r="P335">
        <v>23.529</v>
      </c>
      <c r="Q335">
        <v>17.390999999999998</v>
      </c>
      <c r="R335">
        <v>17.390999999999998</v>
      </c>
      <c r="S335">
        <v>10</v>
      </c>
      <c r="T335">
        <v>8.3330000000000002</v>
      </c>
      <c r="U335">
        <v>0</v>
      </c>
      <c r="V335">
        <f t="shared" si="15"/>
        <v>15.538499999999999</v>
      </c>
      <c r="W335">
        <f t="shared" si="16"/>
        <v>11.962249999999999</v>
      </c>
      <c r="X335">
        <f t="shared" si="17"/>
        <v>9.8317499999999995</v>
      </c>
      <c r="Y335">
        <v>13</v>
      </c>
      <c r="Z335" s="2" t="s">
        <v>335</v>
      </c>
    </row>
    <row r="336" spans="1:26" x14ac:dyDescent="0.25">
      <c r="A336">
        <v>975</v>
      </c>
      <c r="B336">
        <v>425</v>
      </c>
      <c r="C336" t="s">
        <v>22</v>
      </c>
      <c r="D336" t="s">
        <v>333</v>
      </c>
      <c r="E336" t="s">
        <v>27</v>
      </c>
      <c r="F336" t="s">
        <v>347</v>
      </c>
      <c r="G336" t="str">
        <f>VLOOKUP(F336,Hospitals!E:H,4,FALSE)</f>
        <v>28.19402 , 77.15764</v>
      </c>
      <c r="H336" s="1">
        <v>45526</v>
      </c>
      <c r="I336" s="1">
        <v>45526</v>
      </c>
      <c r="J336">
        <v>5.0960000000000001</v>
      </c>
      <c r="K336">
        <v>4.734</v>
      </c>
      <c r="L336">
        <v>4.5449999999999999</v>
      </c>
      <c r="M336">
        <v>23.529</v>
      </c>
      <c r="N336">
        <v>17.390999999999998</v>
      </c>
      <c r="O336">
        <v>17.390999999999998</v>
      </c>
      <c r="P336">
        <v>23.529</v>
      </c>
      <c r="Q336">
        <v>17.390999999999998</v>
      </c>
      <c r="R336">
        <v>17.390999999999998</v>
      </c>
      <c r="S336">
        <v>10</v>
      </c>
      <c r="T336">
        <v>8.3330000000000002</v>
      </c>
      <c r="U336">
        <v>0</v>
      </c>
      <c r="V336">
        <f t="shared" si="15"/>
        <v>15.538499999999999</v>
      </c>
      <c r="W336">
        <f t="shared" si="16"/>
        <v>11.962249999999999</v>
      </c>
      <c r="X336">
        <f t="shared" si="17"/>
        <v>9.8317499999999995</v>
      </c>
      <c r="Y336">
        <v>13</v>
      </c>
      <c r="Z336" s="2" t="s">
        <v>335</v>
      </c>
    </row>
    <row r="337" spans="1:26" x14ac:dyDescent="0.25">
      <c r="A337">
        <v>588</v>
      </c>
      <c r="B337">
        <v>426</v>
      </c>
      <c r="C337" t="s">
        <v>22</v>
      </c>
      <c r="D337" t="s">
        <v>333</v>
      </c>
      <c r="E337" t="s">
        <v>27</v>
      </c>
      <c r="F337" t="s">
        <v>348</v>
      </c>
      <c r="G337" t="str">
        <f>VLOOKUP(F337,Hospitals!E:H,4,FALSE)</f>
        <v>28.43279 , 77.02118</v>
      </c>
      <c r="H337" s="1">
        <v>45531</v>
      </c>
      <c r="I337" s="1">
        <v>45531</v>
      </c>
      <c r="J337">
        <v>34.395000000000003</v>
      </c>
      <c r="K337">
        <v>31.952999999999999</v>
      </c>
      <c r="L337">
        <v>30.681999999999999</v>
      </c>
      <c r="M337">
        <v>29.411999999999999</v>
      </c>
      <c r="N337">
        <v>21.739000000000001</v>
      </c>
      <c r="O337">
        <v>21.739000000000001</v>
      </c>
      <c r="P337">
        <v>29.411999999999999</v>
      </c>
      <c r="Q337">
        <v>21.739000000000001</v>
      </c>
      <c r="R337">
        <v>21.739000000000001</v>
      </c>
      <c r="S337">
        <v>10</v>
      </c>
      <c r="T337">
        <v>8.3330000000000002</v>
      </c>
      <c r="U337">
        <v>0</v>
      </c>
      <c r="V337">
        <f t="shared" si="15"/>
        <v>25.804749999999999</v>
      </c>
      <c r="W337">
        <f t="shared" si="16"/>
        <v>20.940999999999999</v>
      </c>
      <c r="X337">
        <f t="shared" si="17"/>
        <v>18.54</v>
      </c>
      <c r="Y337">
        <v>13</v>
      </c>
      <c r="Z337" s="2" t="s">
        <v>335</v>
      </c>
    </row>
    <row r="338" spans="1:26" x14ac:dyDescent="0.25">
      <c r="A338">
        <v>574</v>
      </c>
      <c r="B338">
        <v>427</v>
      </c>
      <c r="C338" t="s">
        <v>22</v>
      </c>
      <c r="D338" t="s">
        <v>333</v>
      </c>
      <c r="E338" t="s">
        <v>27</v>
      </c>
      <c r="F338" t="s">
        <v>349</v>
      </c>
      <c r="G338" t="str">
        <f>VLOOKUP(F338,Hospitals!E:H,4,FALSE)</f>
        <v>27.87966 , 77.38322</v>
      </c>
      <c r="H338" s="1">
        <v>45385</v>
      </c>
      <c r="I338" t="s">
        <v>35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f t="shared" si="15"/>
        <v>0</v>
      </c>
      <c r="W338">
        <f t="shared" si="16"/>
        <v>0</v>
      </c>
      <c r="X338">
        <f t="shared" si="17"/>
        <v>0</v>
      </c>
      <c r="Y338">
        <v>13</v>
      </c>
      <c r="Z338" s="2" t="s">
        <v>335</v>
      </c>
    </row>
    <row r="339" spans="1:26" x14ac:dyDescent="0.25">
      <c r="A339">
        <v>584</v>
      </c>
      <c r="B339">
        <v>428</v>
      </c>
      <c r="C339" t="s">
        <v>22</v>
      </c>
      <c r="D339" t="s">
        <v>333</v>
      </c>
      <c r="E339" t="s">
        <v>27</v>
      </c>
      <c r="F339" t="s">
        <v>350</v>
      </c>
      <c r="G339" t="str">
        <f>VLOOKUP(F339,Hospitals!E:H,4,FALSE)</f>
        <v>27.79993 , 76.95181</v>
      </c>
      <c r="H339" s="1">
        <v>45385</v>
      </c>
      <c r="I339" s="1">
        <v>45385</v>
      </c>
      <c r="J339">
        <v>68.153000000000006</v>
      </c>
      <c r="K339">
        <v>67.456000000000003</v>
      </c>
      <c r="L339">
        <v>64.772999999999996</v>
      </c>
      <c r="M339">
        <v>41.176000000000002</v>
      </c>
      <c r="N339">
        <v>30.434999999999999</v>
      </c>
      <c r="O339">
        <v>30.434999999999999</v>
      </c>
      <c r="P339">
        <v>41.176000000000002</v>
      </c>
      <c r="Q339">
        <v>30.434999999999999</v>
      </c>
      <c r="R339">
        <v>30.434999999999999</v>
      </c>
      <c r="S339">
        <v>0</v>
      </c>
      <c r="T339">
        <v>0</v>
      </c>
      <c r="U339">
        <v>0</v>
      </c>
      <c r="V339">
        <f t="shared" si="15"/>
        <v>37.626249999999999</v>
      </c>
      <c r="W339">
        <f t="shared" si="16"/>
        <v>32.081499999999998</v>
      </c>
      <c r="X339">
        <f t="shared" si="17"/>
        <v>31.41075</v>
      </c>
      <c r="Y339">
        <v>13</v>
      </c>
      <c r="Z339" s="2" t="s">
        <v>335</v>
      </c>
    </row>
    <row r="340" spans="1:26" x14ac:dyDescent="0.25">
      <c r="A340">
        <v>583</v>
      </c>
      <c r="B340">
        <v>429</v>
      </c>
      <c r="C340" t="s">
        <v>22</v>
      </c>
      <c r="D340" t="s">
        <v>333</v>
      </c>
      <c r="E340" t="s">
        <v>27</v>
      </c>
      <c r="F340" t="s">
        <v>351</v>
      </c>
      <c r="G340" t="str">
        <f>VLOOKUP(F340,Hospitals!E:H,4,FALSE)</f>
        <v>27.9278 , 77.40258</v>
      </c>
      <c r="H340" s="1">
        <v>45385</v>
      </c>
      <c r="I340" s="1">
        <v>45385</v>
      </c>
      <c r="J340">
        <v>1.911</v>
      </c>
      <c r="K340">
        <v>1.7749999999999999</v>
      </c>
      <c r="L340">
        <v>1.7050000000000001</v>
      </c>
      <c r="M340">
        <v>5.8819999999999997</v>
      </c>
      <c r="N340">
        <v>4.3479999999999999</v>
      </c>
      <c r="O340">
        <v>4.3479999999999999</v>
      </c>
      <c r="P340">
        <v>5.8819999999999997</v>
      </c>
      <c r="Q340">
        <v>4.3479999999999999</v>
      </c>
      <c r="R340">
        <v>4.3479999999999999</v>
      </c>
      <c r="S340">
        <v>0</v>
      </c>
      <c r="T340">
        <v>0</v>
      </c>
      <c r="U340">
        <v>0</v>
      </c>
      <c r="V340">
        <f t="shared" si="15"/>
        <v>3.4187499999999997</v>
      </c>
      <c r="W340">
        <f t="shared" si="16"/>
        <v>2.61775</v>
      </c>
      <c r="X340">
        <f t="shared" si="17"/>
        <v>2.60025</v>
      </c>
      <c r="Y340">
        <v>13</v>
      </c>
      <c r="Z340" s="2" t="s">
        <v>335</v>
      </c>
    </row>
    <row r="341" spans="1:26" x14ac:dyDescent="0.25">
      <c r="A341">
        <v>857</v>
      </c>
      <c r="B341">
        <v>43</v>
      </c>
      <c r="C341" t="s">
        <v>22</v>
      </c>
      <c r="D341" t="s">
        <v>328</v>
      </c>
      <c r="E341" t="s">
        <v>30</v>
      </c>
      <c r="F341" t="s">
        <v>352</v>
      </c>
      <c r="G341" t="str">
        <f>VLOOKUP(F341,Hospitals!E:H,4,FALSE)</f>
        <v>28.79681 , 76.14586</v>
      </c>
      <c r="H341" s="1">
        <v>45478</v>
      </c>
      <c r="I341" s="1">
        <v>45478</v>
      </c>
      <c r="J341">
        <v>47.134</v>
      </c>
      <c r="K341">
        <v>43.786999999999999</v>
      </c>
      <c r="L341">
        <v>42.045000000000002</v>
      </c>
      <c r="M341">
        <v>17.646999999999998</v>
      </c>
      <c r="N341">
        <v>13.042999999999999</v>
      </c>
      <c r="O341">
        <v>13.042999999999999</v>
      </c>
      <c r="P341">
        <v>17.646999999999998</v>
      </c>
      <c r="Q341">
        <v>13.042999999999999</v>
      </c>
      <c r="R341">
        <v>13.042999999999999</v>
      </c>
      <c r="S341">
        <v>0</v>
      </c>
      <c r="T341">
        <v>0</v>
      </c>
      <c r="U341">
        <v>0</v>
      </c>
      <c r="V341">
        <f t="shared" si="15"/>
        <v>20.606999999999999</v>
      </c>
      <c r="W341">
        <f t="shared" si="16"/>
        <v>17.468249999999998</v>
      </c>
      <c r="X341">
        <f t="shared" si="17"/>
        <v>17.03275</v>
      </c>
      <c r="Y341">
        <v>13</v>
      </c>
      <c r="Z341" s="2" t="s">
        <v>330</v>
      </c>
    </row>
    <row r="342" spans="1:26" x14ac:dyDescent="0.25">
      <c r="A342">
        <v>890</v>
      </c>
      <c r="B342">
        <v>43</v>
      </c>
      <c r="C342" t="s">
        <v>22</v>
      </c>
      <c r="D342" t="s">
        <v>328</v>
      </c>
      <c r="E342" t="s">
        <v>30</v>
      </c>
      <c r="F342" t="s">
        <v>352</v>
      </c>
      <c r="G342" t="str">
        <f>VLOOKUP(F342,Hospitals!E:H,4,FALSE)</f>
        <v>28.79681 , 76.14586</v>
      </c>
      <c r="H342" s="1">
        <v>45479</v>
      </c>
      <c r="I342" s="1">
        <v>45479</v>
      </c>
      <c r="J342">
        <v>47.134</v>
      </c>
      <c r="K342">
        <v>43.786999999999999</v>
      </c>
      <c r="L342">
        <v>42.045000000000002</v>
      </c>
      <c r="M342">
        <v>17.646999999999998</v>
      </c>
      <c r="N342">
        <v>13.042999999999999</v>
      </c>
      <c r="O342">
        <v>13.042999999999999</v>
      </c>
      <c r="P342">
        <v>17.646999999999998</v>
      </c>
      <c r="Q342">
        <v>13.042999999999999</v>
      </c>
      <c r="R342">
        <v>13.042999999999999</v>
      </c>
      <c r="S342">
        <v>0</v>
      </c>
      <c r="T342">
        <v>0</v>
      </c>
      <c r="U342">
        <v>0</v>
      </c>
      <c r="V342">
        <f t="shared" si="15"/>
        <v>20.606999999999999</v>
      </c>
      <c r="W342">
        <f t="shared" si="16"/>
        <v>17.468249999999998</v>
      </c>
      <c r="X342">
        <f t="shared" si="17"/>
        <v>17.03275</v>
      </c>
      <c r="Y342">
        <v>13</v>
      </c>
      <c r="Z342" s="2" t="s">
        <v>330</v>
      </c>
    </row>
    <row r="343" spans="1:26" x14ac:dyDescent="0.25">
      <c r="A343">
        <v>591</v>
      </c>
      <c r="B343">
        <v>430</v>
      </c>
      <c r="C343" t="s">
        <v>22</v>
      </c>
      <c r="D343" t="s">
        <v>333</v>
      </c>
      <c r="E343" t="s">
        <v>27</v>
      </c>
      <c r="F343" t="s">
        <v>353</v>
      </c>
      <c r="G343" t="str">
        <f>VLOOKUP(F343,Hospitals!E:H,4,FALSE)</f>
        <v>29.39095 , 76.9635</v>
      </c>
      <c r="H343" s="1">
        <v>45387</v>
      </c>
      <c r="I343" s="1">
        <v>45387</v>
      </c>
      <c r="J343">
        <v>42.037999999999997</v>
      </c>
      <c r="K343">
        <v>40.237000000000002</v>
      </c>
      <c r="L343">
        <v>38.636000000000003</v>
      </c>
      <c r="M343">
        <v>35.293999999999997</v>
      </c>
      <c r="N343">
        <v>26.087</v>
      </c>
      <c r="O343">
        <v>26.087</v>
      </c>
      <c r="P343">
        <v>35.293999999999997</v>
      </c>
      <c r="Q343">
        <v>26.087</v>
      </c>
      <c r="R343">
        <v>26.087</v>
      </c>
      <c r="S343">
        <v>0</v>
      </c>
      <c r="T343">
        <v>0</v>
      </c>
      <c r="U343">
        <v>0</v>
      </c>
      <c r="V343">
        <f t="shared" si="15"/>
        <v>28.156499999999998</v>
      </c>
      <c r="W343">
        <f t="shared" si="16"/>
        <v>23.10275</v>
      </c>
      <c r="X343">
        <f t="shared" si="17"/>
        <v>22.702500000000001</v>
      </c>
      <c r="Y343">
        <v>13</v>
      </c>
      <c r="Z343" s="2" t="s">
        <v>335</v>
      </c>
    </row>
    <row r="344" spans="1:26" x14ac:dyDescent="0.25">
      <c r="A344">
        <v>573</v>
      </c>
      <c r="B344">
        <v>431</v>
      </c>
      <c r="C344" t="s">
        <v>22</v>
      </c>
      <c r="D344" t="s">
        <v>333</v>
      </c>
      <c r="E344" t="s">
        <v>27</v>
      </c>
      <c r="F344" t="s">
        <v>354</v>
      </c>
      <c r="G344" t="str">
        <f>VLOOKUP(F344,Hospitals!E:H,4,FALSE)</f>
        <v>28.28612 , 77.07488</v>
      </c>
      <c r="H344" s="1">
        <v>45385</v>
      </c>
      <c r="I344" s="1">
        <v>45385</v>
      </c>
      <c r="J344">
        <v>22.93</v>
      </c>
      <c r="K344">
        <v>21.302</v>
      </c>
      <c r="L344">
        <v>20.454999999999998</v>
      </c>
      <c r="M344">
        <v>11.765000000000001</v>
      </c>
      <c r="N344">
        <v>8.6959999999999997</v>
      </c>
      <c r="O344">
        <v>8.6959999999999997</v>
      </c>
      <c r="P344">
        <v>11.765000000000001</v>
      </c>
      <c r="Q344">
        <v>8.6959999999999997</v>
      </c>
      <c r="R344">
        <v>8.6959999999999997</v>
      </c>
      <c r="S344">
        <v>0</v>
      </c>
      <c r="T344">
        <v>0</v>
      </c>
      <c r="U344">
        <v>0</v>
      </c>
      <c r="V344">
        <f t="shared" si="15"/>
        <v>11.615</v>
      </c>
      <c r="W344">
        <f t="shared" si="16"/>
        <v>9.6734999999999989</v>
      </c>
      <c r="X344">
        <f t="shared" si="17"/>
        <v>9.4617499999999986</v>
      </c>
      <c r="Y344">
        <v>13</v>
      </c>
      <c r="Z344" s="2" t="s">
        <v>335</v>
      </c>
    </row>
    <row r="345" spans="1:26" x14ac:dyDescent="0.25">
      <c r="A345">
        <v>586</v>
      </c>
      <c r="B345">
        <v>432</v>
      </c>
      <c r="C345" t="s">
        <v>22</v>
      </c>
      <c r="D345" t="s">
        <v>333</v>
      </c>
      <c r="E345" t="s">
        <v>27</v>
      </c>
      <c r="F345" t="s">
        <v>355</v>
      </c>
      <c r="G345" t="str">
        <f>VLOOKUP(F345,Hospitals!E:H,4,FALSE)</f>
        <v>27.86694 , 77.24285</v>
      </c>
      <c r="H345" s="1">
        <v>45385</v>
      </c>
      <c r="I345" s="1">
        <v>45385</v>
      </c>
      <c r="J345">
        <v>45.86</v>
      </c>
      <c r="K345">
        <v>43.786999999999999</v>
      </c>
      <c r="L345">
        <v>42.045000000000002</v>
      </c>
      <c r="M345">
        <v>29.411999999999999</v>
      </c>
      <c r="N345">
        <v>21.739000000000001</v>
      </c>
      <c r="O345">
        <v>21.739000000000001</v>
      </c>
      <c r="P345">
        <v>29.411999999999999</v>
      </c>
      <c r="Q345">
        <v>21.739000000000001</v>
      </c>
      <c r="R345">
        <v>21.739000000000001</v>
      </c>
      <c r="S345">
        <v>0</v>
      </c>
      <c r="T345">
        <v>0</v>
      </c>
      <c r="U345">
        <v>0</v>
      </c>
      <c r="V345">
        <f t="shared" si="15"/>
        <v>26.170999999999999</v>
      </c>
      <c r="W345">
        <f t="shared" si="16"/>
        <v>21.81625</v>
      </c>
      <c r="X345">
        <f t="shared" si="17"/>
        <v>21.380750000000003</v>
      </c>
      <c r="Y345">
        <v>13</v>
      </c>
      <c r="Z345" s="2" t="s">
        <v>335</v>
      </c>
    </row>
    <row r="346" spans="1:26" x14ac:dyDescent="0.25">
      <c r="A346">
        <v>595</v>
      </c>
      <c r="B346">
        <v>432</v>
      </c>
      <c r="C346" t="s">
        <v>22</v>
      </c>
      <c r="D346" t="s">
        <v>333</v>
      </c>
      <c r="E346" t="s">
        <v>27</v>
      </c>
      <c r="F346" t="s">
        <v>355</v>
      </c>
      <c r="G346" t="str">
        <f>VLOOKUP(F346,Hospitals!E:H,4,FALSE)</f>
        <v>27.86694 , 77.24285</v>
      </c>
      <c r="H346" s="1">
        <v>45385</v>
      </c>
      <c r="I346" s="1">
        <v>45533</v>
      </c>
      <c r="J346">
        <v>45.86</v>
      </c>
      <c r="K346">
        <v>43.786999999999999</v>
      </c>
      <c r="L346">
        <v>42.045000000000002</v>
      </c>
      <c r="M346">
        <v>29.411999999999999</v>
      </c>
      <c r="N346">
        <v>21.739000000000001</v>
      </c>
      <c r="O346">
        <v>21.739000000000001</v>
      </c>
      <c r="P346">
        <v>29.411999999999999</v>
      </c>
      <c r="Q346">
        <v>21.739000000000001</v>
      </c>
      <c r="R346">
        <v>21.739000000000001</v>
      </c>
      <c r="S346">
        <v>0</v>
      </c>
      <c r="T346">
        <v>0</v>
      </c>
      <c r="U346">
        <v>0</v>
      </c>
      <c r="V346">
        <f t="shared" si="15"/>
        <v>26.170999999999999</v>
      </c>
      <c r="W346">
        <f t="shared" si="16"/>
        <v>21.81625</v>
      </c>
      <c r="X346">
        <f t="shared" si="17"/>
        <v>21.380750000000003</v>
      </c>
      <c r="Y346">
        <v>13</v>
      </c>
      <c r="Z346" s="2" t="s">
        <v>335</v>
      </c>
    </row>
    <row r="347" spans="1:26" x14ac:dyDescent="0.25">
      <c r="A347">
        <v>621</v>
      </c>
      <c r="B347">
        <v>433</v>
      </c>
      <c r="C347" t="s">
        <v>22</v>
      </c>
      <c r="D347" t="s">
        <v>333</v>
      </c>
      <c r="E347" t="s">
        <v>27</v>
      </c>
      <c r="F347" t="s">
        <v>356</v>
      </c>
      <c r="G347" t="str">
        <f>VLOOKUP(F347,Hospitals!E:H,4,FALSE)</f>
        <v>28.99051 , 76.98735</v>
      </c>
      <c r="H347" s="1">
        <v>45391</v>
      </c>
      <c r="I347" s="1">
        <v>45391</v>
      </c>
      <c r="J347">
        <v>55.414000000000001</v>
      </c>
      <c r="K347">
        <v>51.478999999999999</v>
      </c>
      <c r="L347">
        <v>49.432000000000002</v>
      </c>
      <c r="M347">
        <v>58.823999999999998</v>
      </c>
      <c r="N347">
        <v>43.478000000000002</v>
      </c>
      <c r="O347">
        <v>43.478000000000002</v>
      </c>
      <c r="P347">
        <v>58.823999999999998</v>
      </c>
      <c r="Q347">
        <v>43.478000000000002</v>
      </c>
      <c r="R347">
        <v>43.478000000000002</v>
      </c>
      <c r="S347">
        <v>10</v>
      </c>
      <c r="T347">
        <v>8.3330000000000002</v>
      </c>
      <c r="U347">
        <v>0</v>
      </c>
      <c r="V347">
        <f t="shared" si="15"/>
        <v>45.765500000000003</v>
      </c>
      <c r="W347">
        <f t="shared" si="16"/>
        <v>36.692</v>
      </c>
      <c r="X347">
        <f t="shared" si="17"/>
        <v>34.097000000000001</v>
      </c>
      <c r="Y347">
        <v>13</v>
      </c>
      <c r="Z347" s="2" t="s">
        <v>335</v>
      </c>
    </row>
    <row r="348" spans="1:26" x14ac:dyDescent="0.25">
      <c r="A348">
        <v>590</v>
      </c>
      <c r="B348">
        <v>434</v>
      </c>
      <c r="C348" t="s">
        <v>22</v>
      </c>
      <c r="D348" t="s">
        <v>333</v>
      </c>
      <c r="E348" t="s">
        <v>27</v>
      </c>
      <c r="F348" t="s">
        <v>357</v>
      </c>
      <c r="G348" t="str">
        <f>VLOOKUP(F348,Hospitals!E:H,4,FALSE)</f>
        <v>28.25124 , 76.90921</v>
      </c>
      <c r="H348" s="1">
        <v>45385</v>
      </c>
      <c r="I348" t="s">
        <v>35</v>
      </c>
      <c r="J348">
        <v>14.65</v>
      </c>
      <c r="K348">
        <v>14.201000000000001</v>
      </c>
      <c r="L348">
        <v>13.635999999999999</v>
      </c>
      <c r="M348">
        <v>29.411999999999999</v>
      </c>
      <c r="N348">
        <v>26.087</v>
      </c>
      <c r="O348">
        <v>26.087</v>
      </c>
      <c r="P348">
        <v>29.411999999999999</v>
      </c>
      <c r="Q348">
        <v>26.087</v>
      </c>
      <c r="R348">
        <v>26.087</v>
      </c>
      <c r="S348">
        <v>0</v>
      </c>
      <c r="T348">
        <v>0</v>
      </c>
      <c r="U348">
        <v>0</v>
      </c>
      <c r="V348">
        <f t="shared" si="15"/>
        <v>18.368499999999997</v>
      </c>
      <c r="W348">
        <f t="shared" si="16"/>
        <v>16.59375</v>
      </c>
      <c r="X348">
        <f t="shared" si="17"/>
        <v>16.452500000000001</v>
      </c>
      <c r="Y348">
        <v>13</v>
      </c>
      <c r="Z348" s="2" t="s">
        <v>335</v>
      </c>
    </row>
    <row r="349" spans="1:26" x14ac:dyDescent="0.25">
      <c r="A349">
        <v>575</v>
      </c>
      <c r="B349">
        <v>435</v>
      </c>
      <c r="C349" t="s">
        <v>22</v>
      </c>
      <c r="D349" t="s">
        <v>333</v>
      </c>
      <c r="E349" t="s">
        <v>27</v>
      </c>
      <c r="F349" t="s">
        <v>358</v>
      </c>
      <c r="G349" t="str">
        <f>VLOOKUP(F349,Hospitals!E:H,4,FALSE)</f>
        <v>28.47402 , 77.02189</v>
      </c>
      <c r="H349" s="1">
        <v>45385</v>
      </c>
      <c r="I349" t="s">
        <v>35</v>
      </c>
      <c r="J349">
        <v>34.395000000000003</v>
      </c>
      <c r="K349">
        <v>31.952999999999999</v>
      </c>
      <c r="L349">
        <v>30.681999999999999</v>
      </c>
      <c r="M349">
        <v>41.176000000000002</v>
      </c>
      <c r="N349">
        <v>34.783000000000001</v>
      </c>
      <c r="O349">
        <v>34.783000000000001</v>
      </c>
      <c r="P349">
        <v>41.176000000000002</v>
      </c>
      <c r="Q349">
        <v>34.783000000000001</v>
      </c>
      <c r="R349">
        <v>34.783000000000001</v>
      </c>
      <c r="S349">
        <v>0</v>
      </c>
      <c r="T349">
        <v>0</v>
      </c>
      <c r="U349">
        <v>0</v>
      </c>
      <c r="V349">
        <f t="shared" si="15"/>
        <v>29.18675</v>
      </c>
      <c r="W349">
        <f t="shared" si="16"/>
        <v>25.379750000000001</v>
      </c>
      <c r="X349">
        <f t="shared" si="17"/>
        <v>25.062000000000001</v>
      </c>
      <c r="Y349">
        <v>13</v>
      </c>
      <c r="Z349" s="2" t="s">
        <v>335</v>
      </c>
    </row>
    <row r="350" spans="1:26" x14ac:dyDescent="0.25">
      <c r="A350">
        <v>985</v>
      </c>
      <c r="B350">
        <v>436</v>
      </c>
      <c r="C350" t="s">
        <v>22</v>
      </c>
      <c r="D350" t="s">
        <v>333</v>
      </c>
      <c r="E350" t="s">
        <v>27</v>
      </c>
      <c r="F350" t="s">
        <v>359</v>
      </c>
      <c r="G350" t="str">
        <f>VLOOKUP(F350,Hospitals!E:H,4,FALSE)</f>
        <v>28.49637 , 77.05932</v>
      </c>
      <c r="H350" s="1">
        <v>45528</v>
      </c>
      <c r="I350" s="1">
        <v>45528</v>
      </c>
      <c r="J350">
        <v>36.942999999999998</v>
      </c>
      <c r="K350">
        <v>34.32</v>
      </c>
      <c r="L350">
        <v>32.954999999999998</v>
      </c>
      <c r="M350">
        <v>23.529</v>
      </c>
      <c r="N350">
        <v>17.390999999999998</v>
      </c>
      <c r="O350">
        <v>17.390999999999998</v>
      </c>
      <c r="P350">
        <v>23.529</v>
      </c>
      <c r="Q350">
        <v>17.390999999999998</v>
      </c>
      <c r="R350">
        <v>17.390999999999998</v>
      </c>
      <c r="S350">
        <v>0</v>
      </c>
      <c r="T350">
        <v>0</v>
      </c>
      <c r="U350">
        <v>0</v>
      </c>
      <c r="V350">
        <f t="shared" si="15"/>
        <v>21.000249999999998</v>
      </c>
      <c r="W350">
        <f t="shared" si="16"/>
        <v>17.275500000000001</v>
      </c>
      <c r="X350">
        <f t="shared" si="17"/>
        <v>16.934249999999999</v>
      </c>
      <c r="Y350">
        <v>13</v>
      </c>
      <c r="Z350" s="2" t="s">
        <v>335</v>
      </c>
    </row>
    <row r="351" spans="1:26" x14ac:dyDescent="0.25">
      <c r="A351">
        <v>587</v>
      </c>
      <c r="B351">
        <v>436</v>
      </c>
      <c r="C351" t="s">
        <v>22</v>
      </c>
      <c r="D351" t="s">
        <v>333</v>
      </c>
      <c r="E351" t="s">
        <v>27</v>
      </c>
      <c r="F351" t="s">
        <v>359</v>
      </c>
      <c r="G351" t="str">
        <f>VLOOKUP(F351,Hospitals!E:H,4,FALSE)</f>
        <v>28.49637 , 77.05932</v>
      </c>
      <c r="H351" s="1">
        <v>45385</v>
      </c>
      <c r="I351" s="1">
        <v>45385</v>
      </c>
      <c r="J351">
        <v>36.942999999999998</v>
      </c>
      <c r="K351">
        <v>34.32</v>
      </c>
      <c r="L351">
        <v>32.954999999999998</v>
      </c>
      <c r="M351">
        <v>23.529</v>
      </c>
      <c r="N351">
        <v>17.390999999999998</v>
      </c>
      <c r="O351">
        <v>17.390999999999998</v>
      </c>
      <c r="P351">
        <v>23.529</v>
      </c>
      <c r="Q351">
        <v>17.390999999999998</v>
      </c>
      <c r="R351">
        <v>17.390999999999998</v>
      </c>
      <c r="S351">
        <v>0</v>
      </c>
      <c r="T351">
        <v>0</v>
      </c>
      <c r="U351">
        <v>0</v>
      </c>
      <c r="V351">
        <f t="shared" si="15"/>
        <v>21.000249999999998</v>
      </c>
      <c r="W351">
        <f t="shared" si="16"/>
        <v>17.275500000000001</v>
      </c>
      <c r="X351">
        <f t="shared" si="17"/>
        <v>16.934249999999999</v>
      </c>
      <c r="Y351">
        <v>13</v>
      </c>
      <c r="Z351" s="2" t="s">
        <v>335</v>
      </c>
    </row>
    <row r="352" spans="1:26" x14ac:dyDescent="0.25">
      <c r="A352">
        <v>593</v>
      </c>
      <c r="B352">
        <v>436</v>
      </c>
      <c r="C352" t="s">
        <v>22</v>
      </c>
      <c r="D352" t="s">
        <v>333</v>
      </c>
      <c r="E352" t="s">
        <v>27</v>
      </c>
      <c r="F352" t="s">
        <v>359</v>
      </c>
      <c r="G352" t="str">
        <f>VLOOKUP(F352,Hospitals!E:H,4,FALSE)</f>
        <v>28.49637 , 77.05932</v>
      </c>
      <c r="H352" s="1">
        <v>45385</v>
      </c>
      <c r="I352" s="1">
        <v>45385</v>
      </c>
      <c r="J352">
        <v>36.942999999999998</v>
      </c>
      <c r="K352">
        <v>34.32</v>
      </c>
      <c r="L352">
        <v>32.954999999999998</v>
      </c>
      <c r="M352">
        <v>23.529</v>
      </c>
      <c r="N352">
        <v>17.390999999999998</v>
      </c>
      <c r="O352">
        <v>17.390999999999998</v>
      </c>
      <c r="P352">
        <v>23.529</v>
      </c>
      <c r="Q352">
        <v>17.390999999999998</v>
      </c>
      <c r="R352">
        <v>17.390999999999998</v>
      </c>
      <c r="S352">
        <v>0</v>
      </c>
      <c r="T352">
        <v>0</v>
      </c>
      <c r="U352">
        <v>0</v>
      </c>
      <c r="V352">
        <f t="shared" si="15"/>
        <v>21.000249999999998</v>
      </c>
      <c r="W352">
        <f t="shared" si="16"/>
        <v>17.275500000000001</v>
      </c>
      <c r="X352">
        <f t="shared" si="17"/>
        <v>16.934249999999999</v>
      </c>
      <c r="Y352">
        <v>13</v>
      </c>
      <c r="Z352" s="2" t="s">
        <v>335</v>
      </c>
    </row>
    <row r="353" spans="1:26" x14ac:dyDescent="0.25">
      <c r="A353">
        <v>1124</v>
      </c>
      <c r="B353">
        <v>438</v>
      </c>
      <c r="C353" t="s">
        <v>22</v>
      </c>
      <c r="D353" t="s">
        <v>38</v>
      </c>
      <c r="E353" t="s">
        <v>24</v>
      </c>
      <c r="F353" t="s">
        <v>360</v>
      </c>
      <c r="G353" t="str">
        <f>VLOOKUP(F353,Hospitals!E:H,4,FALSE)</f>
        <v>30.8349 , 76.9347</v>
      </c>
      <c r="H353" s="1">
        <v>45671</v>
      </c>
      <c r="I353" t="s">
        <v>35</v>
      </c>
      <c r="J353">
        <v>80.891999999999996</v>
      </c>
      <c r="K353">
        <v>76.331000000000003</v>
      </c>
      <c r="L353">
        <v>73.295000000000002</v>
      </c>
      <c r="M353">
        <v>76.471000000000004</v>
      </c>
      <c r="N353">
        <v>56.521999999999998</v>
      </c>
      <c r="O353">
        <v>56.521999999999998</v>
      </c>
      <c r="P353">
        <v>76.471000000000004</v>
      </c>
      <c r="Q353">
        <v>56.521999999999998</v>
      </c>
      <c r="R353">
        <v>56.521999999999998</v>
      </c>
      <c r="S353">
        <v>10</v>
      </c>
      <c r="T353">
        <v>8.3330000000000002</v>
      </c>
      <c r="U353">
        <v>0</v>
      </c>
      <c r="V353">
        <f t="shared" si="15"/>
        <v>60.958500000000001</v>
      </c>
      <c r="W353">
        <f t="shared" si="16"/>
        <v>49.427</v>
      </c>
      <c r="X353">
        <f t="shared" si="17"/>
        <v>46.58475</v>
      </c>
      <c r="Y353">
        <v>13</v>
      </c>
      <c r="Z353" s="2" t="s">
        <v>41</v>
      </c>
    </row>
    <row r="354" spans="1:26" x14ac:dyDescent="0.25">
      <c r="A354">
        <v>917</v>
      </c>
      <c r="B354">
        <v>439</v>
      </c>
      <c r="C354" t="s">
        <v>22</v>
      </c>
      <c r="D354" t="s">
        <v>38</v>
      </c>
      <c r="E354" t="s">
        <v>24</v>
      </c>
      <c r="F354" t="s">
        <v>361</v>
      </c>
      <c r="G354" t="str">
        <f>VLOOKUP(F354,Hospitals!E:H,4,FALSE)</f>
        <v>30.57498 , 77.02189</v>
      </c>
      <c r="H354" s="1">
        <v>45492</v>
      </c>
      <c r="I354" t="s">
        <v>35</v>
      </c>
      <c r="J354">
        <v>70.063999999999993</v>
      </c>
      <c r="K354">
        <v>65.680000000000007</v>
      </c>
      <c r="L354">
        <v>63.067999999999998</v>
      </c>
      <c r="M354">
        <v>76.471000000000004</v>
      </c>
      <c r="N354">
        <v>65.216999999999999</v>
      </c>
      <c r="O354">
        <v>65.216999999999999</v>
      </c>
      <c r="P354">
        <v>76.471000000000004</v>
      </c>
      <c r="Q354">
        <v>65.216999999999999</v>
      </c>
      <c r="R354">
        <v>65.216999999999999</v>
      </c>
      <c r="S354">
        <v>20</v>
      </c>
      <c r="T354">
        <v>8.3330000000000002</v>
      </c>
      <c r="U354">
        <v>0</v>
      </c>
      <c r="V354">
        <f t="shared" si="15"/>
        <v>60.7515</v>
      </c>
      <c r="W354">
        <f t="shared" si="16"/>
        <v>51.111749999999994</v>
      </c>
      <c r="X354">
        <f t="shared" si="17"/>
        <v>48.375500000000002</v>
      </c>
      <c r="Y354">
        <v>13</v>
      </c>
      <c r="Z354" s="2" t="s">
        <v>41</v>
      </c>
    </row>
    <row r="355" spans="1:26" x14ac:dyDescent="0.25">
      <c r="A355">
        <v>842</v>
      </c>
      <c r="B355">
        <v>44</v>
      </c>
      <c r="C355" t="s">
        <v>22</v>
      </c>
      <c r="D355" t="s">
        <v>328</v>
      </c>
      <c r="E355" t="s">
        <v>30</v>
      </c>
      <c r="F355" t="s">
        <v>362</v>
      </c>
      <c r="G355" t="str">
        <f>VLOOKUP(F355,Hospitals!E:H,4,FALSE)</f>
        <v>28.7967 , 76.14643</v>
      </c>
      <c r="H355" s="1">
        <v>45698</v>
      </c>
      <c r="I355" t="s">
        <v>35</v>
      </c>
      <c r="J355">
        <v>0</v>
      </c>
      <c r="K355">
        <v>0</v>
      </c>
      <c r="L355">
        <v>0</v>
      </c>
      <c r="M355">
        <v>5.8819999999999997</v>
      </c>
      <c r="N355">
        <v>8.6959999999999997</v>
      </c>
      <c r="O355">
        <v>8.6959999999999997</v>
      </c>
      <c r="P355">
        <v>5.8819999999999997</v>
      </c>
      <c r="Q355">
        <v>8.6959999999999997</v>
      </c>
      <c r="R355">
        <v>8.6959999999999997</v>
      </c>
      <c r="S355">
        <v>0</v>
      </c>
      <c r="T355">
        <v>0</v>
      </c>
      <c r="U355">
        <v>0</v>
      </c>
      <c r="V355">
        <f t="shared" si="15"/>
        <v>2.9409999999999998</v>
      </c>
      <c r="W355">
        <f t="shared" si="16"/>
        <v>4.3479999999999999</v>
      </c>
      <c r="X355">
        <f t="shared" si="17"/>
        <v>4.3479999999999999</v>
      </c>
      <c r="Y355">
        <v>13</v>
      </c>
      <c r="Z355" s="2" t="s">
        <v>330</v>
      </c>
    </row>
    <row r="356" spans="1:26" x14ac:dyDescent="0.25">
      <c r="A356">
        <v>1138</v>
      </c>
      <c r="B356">
        <v>440</v>
      </c>
      <c r="C356" t="s">
        <v>22</v>
      </c>
      <c r="D356" t="s">
        <v>38</v>
      </c>
      <c r="E356" t="s">
        <v>62</v>
      </c>
      <c r="F356" t="s">
        <v>363</v>
      </c>
      <c r="G356" t="str">
        <f>VLOOKUP(F356,Hospitals!E:H,4,FALSE)</f>
        <v>30.7093 , 76.8522</v>
      </c>
      <c r="H356" s="1">
        <v>45677</v>
      </c>
      <c r="I356" t="s">
        <v>35</v>
      </c>
      <c r="J356">
        <v>12.739000000000001</v>
      </c>
      <c r="K356">
        <v>15.976000000000001</v>
      </c>
      <c r="L356">
        <v>15.340999999999999</v>
      </c>
      <c r="M356">
        <v>76.471000000000004</v>
      </c>
      <c r="N356">
        <v>82.608999999999995</v>
      </c>
      <c r="O356">
        <v>82.608999999999995</v>
      </c>
      <c r="P356">
        <v>76.471000000000004</v>
      </c>
      <c r="Q356">
        <v>82.608999999999995</v>
      </c>
      <c r="R356">
        <v>82.608999999999995</v>
      </c>
      <c r="S356">
        <v>0</v>
      </c>
      <c r="T356">
        <v>0</v>
      </c>
      <c r="U356">
        <v>0</v>
      </c>
      <c r="V356">
        <f t="shared" si="15"/>
        <v>41.420250000000003</v>
      </c>
      <c r="W356">
        <f t="shared" si="16"/>
        <v>45.298499999999997</v>
      </c>
      <c r="X356">
        <f t="shared" si="17"/>
        <v>45.139749999999992</v>
      </c>
      <c r="Y356">
        <v>13</v>
      </c>
      <c r="Z356" s="2" t="s">
        <v>41</v>
      </c>
    </row>
    <row r="357" spans="1:26" x14ac:dyDescent="0.25">
      <c r="A357">
        <v>913</v>
      </c>
      <c r="B357">
        <v>442</v>
      </c>
      <c r="C357" t="s">
        <v>22</v>
      </c>
      <c r="D357" t="s">
        <v>38</v>
      </c>
      <c r="E357" t="s">
        <v>27</v>
      </c>
      <c r="F357" t="s">
        <v>364</v>
      </c>
      <c r="G357" t="str">
        <f>VLOOKUP(F357,Hospitals!E:H,4,FALSE)</f>
        <v>30.70518 , 76.85577</v>
      </c>
      <c r="H357" s="1">
        <v>45491</v>
      </c>
      <c r="I357" s="1">
        <v>45491</v>
      </c>
      <c r="J357">
        <v>60.51</v>
      </c>
      <c r="K357">
        <v>56.213000000000001</v>
      </c>
      <c r="L357">
        <v>54.545000000000002</v>
      </c>
      <c r="M357">
        <v>52.941000000000003</v>
      </c>
      <c r="N357">
        <v>43.478000000000002</v>
      </c>
      <c r="O357">
        <v>43.478000000000002</v>
      </c>
      <c r="P357">
        <v>52.941000000000003</v>
      </c>
      <c r="Q357">
        <v>43.478000000000002</v>
      </c>
      <c r="R357">
        <v>43.478000000000002</v>
      </c>
      <c r="S357">
        <v>10</v>
      </c>
      <c r="T357">
        <v>8.3330000000000002</v>
      </c>
      <c r="U357">
        <v>0</v>
      </c>
      <c r="V357">
        <f t="shared" si="15"/>
        <v>44.097999999999999</v>
      </c>
      <c r="W357">
        <f t="shared" si="16"/>
        <v>37.875500000000002</v>
      </c>
      <c r="X357">
        <f t="shared" si="17"/>
        <v>35.375250000000001</v>
      </c>
      <c r="Y357">
        <v>13</v>
      </c>
      <c r="Z357" s="2" t="s">
        <v>41</v>
      </c>
    </row>
    <row r="358" spans="1:26" x14ac:dyDescent="0.25">
      <c r="A358">
        <v>914</v>
      </c>
      <c r="B358">
        <v>445</v>
      </c>
      <c r="C358" t="s">
        <v>22</v>
      </c>
      <c r="D358" t="s">
        <v>38</v>
      </c>
      <c r="E358" t="s">
        <v>27</v>
      </c>
      <c r="F358" t="s">
        <v>365</v>
      </c>
      <c r="G358" t="e">
        <f>VLOOKUP(F358,Hospitals!E:H,4,FALSE)</f>
        <v>#N/A</v>
      </c>
      <c r="H358" s="1">
        <v>45491</v>
      </c>
      <c r="I358" t="s">
        <v>35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f t="shared" si="15"/>
        <v>0</v>
      </c>
      <c r="W358">
        <f t="shared" si="16"/>
        <v>0</v>
      </c>
      <c r="X358">
        <f t="shared" si="17"/>
        <v>0</v>
      </c>
      <c r="Y358">
        <v>13</v>
      </c>
      <c r="Z358" s="2" t="s">
        <v>41</v>
      </c>
    </row>
    <row r="359" spans="1:26" x14ac:dyDescent="0.25">
      <c r="A359">
        <v>1125</v>
      </c>
      <c r="B359">
        <v>446</v>
      </c>
      <c r="C359" t="s">
        <v>22</v>
      </c>
      <c r="D359" t="s">
        <v>38</v>
      </c>
      <c r="E359" t="s">
        <v>27</v>
      </c>
      <c r="F359" t="s">
        <v>160</v>
      </c>
      <c r="G359" t="str">
        <f>VLOOKUP(F359,Hospitals!E:H,4,FALSE)</f>
        <v>30.15119 , 77.29208</v>
      </c>
      <c r="H359" s="1">
        <v>45681</v>
      </c>
      <c r="I359" s="1">
        <v>45681</v>
      </c>
      <c r="J359">
        <v>64.331000000000003</v>
      </c>
      <c r="K359">
        <v>59.762999999999998</v>
      </c>
      <c r="L359">
        <v>57.386000000000003</v>
      </c>
      <c r="M359">
        <v>58.823999999999998</v>
      </c>
      <c r="N359">
        <v>43.478000000000002</v>
      </c>
      <c r="O359">
        <v>43.478000000000002</v>
      </c>
      <c r="P359">
        <v>58.823999999999998</v>
      </c>
      <c r="Q359">
        <v>43.478000000000002</v>
      </c>
      <c r="R359">
        <v>43.478000000000002</v>
      </c>
      <c r="S359">
        <v>10</v>
      </c>
      <c r="T359">
        <v>8.3330000000000002</v>
      </c>
      <c r="U359">
        <v>0</v>
      </c>
      <c r="V359">
        <f t="shared" si="15"/>
        <v>47.994749999999996</v>
      </c>
      <c r="W359">
        <f t="shared" si="16"/>
        <v>38.762999999999998</v>
      </c>
      <c r="X359">
        <f t="shared" si="17"/>
        <v>36.085500000000003</v>
      </c>
      <c r="Y359">
        <v>13</v>
      </c>
      <c r="Z359" s="2" t="s">
        <v>41</v>
      </c>
    </row>
    <row r="360" spans="1:26" x14ac:dyDescent="0.25">
      <c r="A360">
        <v>297</v>
      </c>
      <c r="B360">
        <v>45</v>
      </c>
      <c r="C360" t="s">
        <v>22</v>
      </c>
      <c r="D360" t="s">
        <v>328</v>
      </c>
      <c r="E360" t="s">
        <v>30</v>
      </c>
      <c r="F360" t="s">
        <v>366</v>
      </c>
      <c r="G360" t="str">
        <f>VLOOKUP(F360,Hospitals!E:H,4,FALSE)</f>
        <v>30.15311 , 77.31937</v>
      </c>
      <c r="H360" s="1">
        <v>45718</v>
      </c>
      <c r="I360" s="1">
        <v>45718</v>
      </c>
      <c r="J360">
        <v>87.260999999999996</v>
      </c>
      <c r="K360">
        <v>85.799000000000007</v>
      </c>
      <c r="L360">
        <v>83.522999999999996</v>
      </c>
      <c r="M360">
        <v>58.823999999999998</v>
      </c>
      <c r="N360">
        <v>69.564999999999998</v>
      </c>
      <c r="O360">
        <v>69.564999999999998</v>
      </c>
      <c r="P360">
        <v>58.823999999999998</v>
      </c>
      <c r="Q360">
        <v>69.564999999999998</v>
      </c>
      <c r="R360">
        <v>69.564999999999998</v>
      </c>
      <c r="S360">
        <v>10</v>
      </c>
      <c r="T360">
        <v>8.3330000000000002</v>
      </c>
      <c r="U360">
        <v>0</v>
      </c>
      <c r="V360">
        <f t="shared" si="15"/>
        <v>53.727249999999998</v>
      </c>
      <c r="W360">
        <f t="shared" si="16"/>
        <v>58.3155</v>
      </c>
      <c r="X360">
        <f t="shared" si="17"/>
        <v>55.663249999999998</v>
      </c>
      <c r="Y360">
        <v>13</v>
      </c>
      <c r="Z360" s="2" t="s">
        <v>330</v>
      </c>
    </row>
    <row r="361" spans="1:26" x14ac:dyDescent="0.25">
      <c r="A361">
        <v>1163</v>
      </c>
      <c r="B361">
        <v>45</v>
      </c>
      <c r="C361" t="s">
        <v>22</v>
      </c>
      <c r="D361" t="s">
        <v>328</v>
      </c>
      <c r="E361" t="s">
        <v>30</v>
      </c>
      <c r="F361" t="s">
        <v>366</v>
      </c>
      <c r="G361" t="str">
        <f>VLOOKUP(F361,Hospitals!E:H,4,FALSE)</f>
        <v>30.15311 , 77.31937</v>
      </c>
      <c r="H361" s="1">
        <v>45718</v>
      </c>
      <c r="I361" s="1">
        <v>45718</v>
      </c>
      <c r="J361">
        <v>87.260999999999996</v>
      </c>
      <c r="K361">
        <v>85.799000000000007</v>
      </c>
      <c r="L361">
        <v>83.522999999999996</v>
      </c>
      <c r="M361">
        <v>58.823999999999998</v>
      </c>
      <c r="N361">
        <v>69.564999999999998</v>
      </c>
      <c r="O361">
        <v>69.564999999999998</v>
      </c>
      <c r="P361">
        <v>58.823999999999998</v>
      </c>
      <c r="Q361">
        <v>69.564999999999998</v>
      </c>
      <c r="R361">
        <v>69.564999999999998</v>
      </c>
      <c r="S361">
        <v>10</v>
      </c>
      <c r="T361">
        <v>8.3330000000000002</v>
      </c>
      <c r="U361">
        <v>0</v>
      </c>
      <c r="V361">
        <f t="shared" si="15"/>
        <v>53.727249999999998</v>
      </c>
      <c r="W361">
        <f t="shared" si="16"/>
        <v>58.3155</v>
      </c>
      <c r="X361">
        <f t="shared" si="17"/>
        <v>55.663249999999998</v>
      </c>
      <c r="Y361">
        <v>13</v>
      </c>
      <c r="Z361" s="2" t="s">
        <v>330</v>
      </c>
    </row>
    <row r="362" spans="1:26" x14ac:dyDescent="0.25">
      <c r="A362">
        <v>346</v>
      </c>
      <c r="B362">
        <v>457</v>
      </c>
      <c r="C362" t="s">
        <v>22</v>
      </c>
      <c r="D362" t="s">
        <v>367</v>
      </c>
      <c r="E362" t="s">
        <v>24</v>
      </c>
      <c r="F362" t="s">
        <v>368</v>
      </c>
      <c r="G362" t="str">
        <f>VLOOKUP(F362,Hospitals!E:H,4,FALSE)</f>
        <v>29.32728 , 77.08526</v>
      </c>
      <c r="H362" s="1">
        <v>45448</v>
      </c>
      <c r="I362" s="1">
        <v>45448</v>
      </c>
      <c r="J362">
        <v>24.204000000000001</v>
      </c>
      <c r="K362">
        <v>22.484999999999999</v>
      </c>
      <c r="L362">
        <v>21.591000000000001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f t="shared" si="15"/>
        <v>6.0510000000000002</v>
      </c>
      <c r="W362">
        <f t="shared" si="16"/>
        <v>5.6212499999999999</v>
      </c>
      <c r="X362">
        <f t="shared" si="17"/>
        <v>5.3977500000000003</v>
      </c>
      <c r="Y362">
        <v>13</v>
      </c>
      <c r="Z362" s="2" t="s">
        <v>369</v>
      </c>
    </row>
    <row r="363" spans="1:26" x14ac:dyDescent="0.25">
      <c r="A363">
        <v>1172</v>
      </c>
      <c r="B363">
        <v>458</v>
      </c>
      <c r="C363" t="s">
        <v>22</v>
      </c>
      <c r="D363" t="s">
        <v>367</v>
      </c>
      <c r="E363" t="s">
        <v>24</v>
      </c>
      <c r="F363" t="s">
        <v>370</v>
      </c>
      <c r="G363" t="str">
        <f>VLOOKUP(F363,Hospitals!E:H,4,FALSE)</f>
        <v>29.41072 , 77.07947</v>
      </c>
      <c r="H363" s="1">
        <v>45772</v>
      </c>
      <c r="I363" t="s">
        <v>35</v>
      </c>
      <c r="J363">
        <v>14.65</v>
      </c>
      <c r="K363">
        <v>13.609</v>
      </c>
      <c r="L363">
        <v>13.068</v>
      </c>
      <c r="M363">
        <v>35.293999999999997</v>
      </c>
      <c r="N363">
        <v>26.087</v>
      </c>
      <c r="O363">
        <v>26.087</v>
      </c>
      <c r="P363">
        <v>35.293999999999997</v>
      </c>
      <c r="Q363">
        <v>26.087</v>
      </c>
      <c r="R363">
        <v>26.087</v>
      </c>
      <c r="S363">
        <v>10</v>
      </c>
      <c r="T363">
        <v>8.3330000000000002</v>
      </c>
      <c r="U363">
        <v>0</v>
      </c>
      <c r="V363">
        <f t="shared" si="15"/>
        <v>23.8095</v>
      </c>
      <c r="W363">
        <f t="shared" si="16"/>
        <v>18.529</v>
      </c>
      <c r="X363">
        <f t="shared" si="17"/>
        <v>16.310500000000001</v>
      </c>
      <c r="Y363">
        <v>13</v>
      </c>
      <c r="Z363" s="2" t="s">
        <v>369</v>
      </c>
    </row>
    <row r="364" spans="1:26" x14ac:dyDescent="0.25">
      <c r="A364">
        <v>328</v>
      </c>
      <c r="B364">
        <v>458</v>
      </c>
      <c r="C364" t="s">
        <v>22</v>
      </c>
      <c r="D364" t="s">
        <v>367</v>
      </c>
      <c r="E364" t="s">
        <v>24</v>
      </c>
      <c r="F364" t="s">
        <v>370</v>
      </c>
      <c r="G364" t="str">
        <f>VLOOKUP(F364,Hospitals!E:H,4,FALSE)</f>
        <v>29.41072 , 77.07947</v>
      </c>
      <c r="H364" s="1">
        <v>45362</v>
      </c>
      <c r="I364" s="1">
        <v>45362</v>
      </c>
      <c r="J364">
        <v>14.65</v>
      </c>
      <c r="K364">
        <v>13.609</v>
      </c>
      <c r="L364">
        <v>13.068</v>
      </c>
      <c r="M364">
        <v>35.293999999999997</v>
      </c>
      <c r="N364">
        <v>26.087</v>
      </c>
      <c r="O364">
        <v>26.087</v>
      </c>
      <c r="P364">
        <v>35.293999999999997</v>
      </c>
      <c r="Q364">
        <v>26.087</v>
      </c>
      <c r="R364">
        <v>26.087</v>
      </c>
      <c r="S364">
        <v>10</v>
      </c>
      <c r="T364">
        <v>8.3330000000000002</v>
      </c>
      <c r="U364">
        <v>0</v>
      </c>
      <c r="V364">
        <f t="shared" si="15"/>
        <v>23.8095</v>
      </c>
      <c r="W364">
        <f t="shared" si="16"/>
        <v>18.529</v>
      </c>
      <c r="X364">
        <f t="shared" si="17"/>
        <v>16.310500000000001</v>
      </c>
      <c r="Y364">
        <v>13</v>
      </c>
      <c r="Z364" s="2" t="s">
        <v>369</v>
      </c>
    </row>
    <row r="365" spans="1:26" x14ac:dyDescent="0.25">
      <c r="A365">
        <v>406</v>
      </c>
      <c r="B365">
        <v>459</v>
      </c>
      <c r="C365" t="s">
        <v>22</v>
      </c>
      <c r="D365" t="s">
        <v>367</v>
      </c>
      <c r="E365" t="s">
        <v>24</v>
      </c>
      <c r="F365" t="s">
        <v>371</v>
      </c>
      <c r="G365" t="str">
        <f>VLOOKUP(F365,Hospitals!E:H,4,FALSE)</f>
        <v>29.49163 , 76.86056</v>
      </c>
      <c r="H365" s="1">
        <v>45411</v>
      </c>
      <c r="I365" s="1">
        <v>45411</v>
      </c>
      <c r="J365">
        <v>10.827999999999999</v>
      </c>
      <c r="K365">
        <v>10.058999999999999</v>
      </c>
      <c r="L365">
        <v>9.6590000000000007</v>
      </c>
      <c r="M365">
        <v>5.8819999999999997</v>
      </c>
      <c r="N365">
        <v>4.3479999999999999</v>
      </c>
      <c r="O365">
        <v>4.3479999999999999</v>
      </c>
      <c r="P365">
        <v>5.8819999999999997</v>
      </c>
      <c r="Q365">
        <v>4.3479999999999999</v>
      </c>
      <c r="R365">
        <v>4.3479999999999999</v>
      </c>
      <c r="S365">
        <v>0</v>
      </c>
      <c r="T365">
        <v>0</v>
      </c>
      <c r="U365">
        <v>0</v>
      </c>
      <c r="V365">
        <f t="shared" si="15"/>
        <v>5.6479999999999997</v>
      </c>
      <c r="W365">
        <f t="shared" si="16"/>
        <v>4.6887499999999998</v>
      </c>
      <c r="X365">
        <f t="shared" si="17"/>
        <v>4.5887500000000001</v>
      </c>
      <c r="Y365">
        <v>13</v>
      </c>
      <c r="Z365" s="2" t="s">
        <v>369</v>
      </c>
    </row>
    <row r="366" spans="1:26" x14ac:dyDescent="0.25">
      <c r="A366">
        <v>345</v>
      </c>
      <c r="B366">
        <v>460</v>
      </c>
      <c r="C366" t="s">
        <v>22</v>
      </c>
      <c r="D366" t="s">
        <v>367</v>
      </c>
      <c r="E366" t="s">
        <v>24</v>
      </c>
      <c r="F366" t="s">
        <v>372</v>
      </c>
      <c r="G366" t="str">
        <f>VLOOKUP(F366,Hospitals!E:H,4,FALSE)</f>
        <v>20.59368 , 78.96288</v>
      </c>
      <c r="H366" s="1">
        <v>45408</v>
      </c>
      <c r="I366" s="1">
        <v>45408</v>
      </c>
      <c r="J366">
        <v>48.408000000000001</v>
      </c>
      <c r="K366">
        <v>44.97</v>
      </c>
      <c r="L366">
        <v>43.182000000000002</v>
      </c>
      <c r="M366">
        <v>29.411999999999999</v>
      </c>
      <c r="N366">
        <v>26.087</v>
      </c>
      <c r="O366">
        <v>26.087</v>
      </c>
      <c r="P366">
        <v>29.411999999999999</v>
      </c>
      <c r="Q366">
        <v>26.087</v>
      </c>
      <c r="R366">
        <v>26.087</v>
      </c>
      <c r="S366">
        <v>10</v>
      </c>
      <c r="T366">
        <v>8.3330000000000002</v>
      </c>
      <c r="U366">
        <v>0</v>
      </c>
      <c r="V366">
        <f t="shared" si="15"/>
        <v>29.308</v>
      </c>
      <c r="W366">
        <f t="shared" si="16"/>
        <v>26.369250000000001</v>
      </c>
      <c r="X366">
        <f t="shared" si="17"/>
        <v>23.839000000000002</v>
      </c>
      <c r="Y366">
        <v>13</v>
      </c>
      <c r="Z366" s="2" t="s">
        <v>369</v>
      </c>
    </row>
    <row r="367" spans="1:26" x14ac:dyDescent="0.25">
      <c r="A367">
        <v>731</v>
      </c>
      <c r="B367">
        <v>461</v>
      </c>
      <c r="C367" t="s">
        <v>22</v>
      </c>
      <c r="D367" t="s">
        <v>367</v>
      </c>
      <c r="E367" t="s">
        <v>24</v>
      </c>
      <c r="F367" t="s">
        <v>373</v>
      </c>
      <c r="G367" t="str">
        <f>VLOOKUP(F367,Hospitals!E:H,4,FALSE)</f>
        <v>29.41072 , 77.07947</v>
      </c>
      <c r="H367" s="1">
        <v>45426</v>
      </c>
      <c r="I367" s="1">
        <v>45426</v>
      </c>
      <c r="J367">
        <v>36.305999999999997</v>
      </c>
      <c r="K367">
        <v>33.728000000000002</v>
      </c>
      <c r="L367">
        <v>32.386000000000003</v>
      </c>
      <c r="M367">
        <v>29.411999999999999</v>
      </c>
      <c r="N367">
        <v>21.739000000000001</v>
      </c>
      <c r="O367">
        <v>21.739000000000001</v>
      </c>
      <c r="P367">
        <v>29.411999999999999</v>
      </c>
      <c r="Q367">
        <v>21.739000000000001</v>
      </c>
      <c r="R367">
        <v>21.739000000000001</v>
      </c>
      <c r="S367">
        <v>0</v>
      </c>
      <c r="T367">
        <v>0</v>
      </c>
      <c r="U367">
        <v>0</v>
      </c>
      <c r="V367">
        <f t="shared" si="15"/>
        <v>23.782499999999999</v>
      </c>
      <c r="W367">
        <f t="shared" si="16"/>
        <v>19.301500000000001</v>
      </c>
      <c r="X367">
        <f t="shared" si="17"/>
        <v>18.966000000000001</v>
      </c>
      <c r="Y367">
        <v>13</v>
      </c>
      <c r="Z367" s="2" t="s">
        <v>369</v>
      </c>
    </row>
    <row r="368" spans="1:26" x14ac:dyDescent="0.25">
      <c r="A368">
        <v>350</v>
      </c>
      <c r="B368">
        <v>462</v>
      </c>
      <c r="C368" t="s">
        <v>22</v>
      </c>
      <c r="D368" t="s">
        <v>367</v>
      </c>
      <c r="E368" t="s">
        <v>24</v>
      </c>
      <c r="F368" t="s">
        <v>374</v>
      </c>
      <c r="G368" t="str">
        <f>VLOOKUP(F368,Hospitals!E:H,4,FALSE)</f>
        <v>29.39617 , 76.9622</v>
      </c>
      <c r="H368" s="1">
        <v>45362</v>
      </c>
      <c r="I368" s="1">
        <v>45362</v>
      </c>
      <c r="J368">
        <v>52.866</v>
      </c>
      <c r="K368">
        <v>49.112000000000002</v>
      </c>
      <c r="L368">
        <v>47.158999999999999</v>
      </c>
      <c r="M368">
        <v>52.941000000000003</v>
      </c>
      <c r="N368">
        <v>39.130000000000003</v>
      </c>
      <c r="O368">
        <v>39.130000000000003</v>
      </c>
      <c r="P368">
        <v>52.941000000000003</v>
      </c>
      <c r="Q368">
        <v>39.130000000000003</v>
      </c>
      <c r="R368">
        <v>39.130000000000003</v>
      </c>
      <c r="S368">
        <v>0</v>
      </c>
      <c r="T368">
        <v>0</v>
      </c>
      <c r="U368">
        <v>0</v>
      </c>
      <c r="V368">
        <f t="shared" si="15"/>
        <v>39.686999999999998</v>
      </c>
      <c r="W368">
        <f t="shared" si="16"/>
        <v>31.843000000000004</v>
      </c>
      <c r="X368">
        <f t="shared" si="17"/>
        <v>31.354750000000003</v>
      </c>
      <c r="Y368">
        <v>13</v>
      </c>
      <c r="Z368" s="2" t="s">
        <v>369</v>
      </c>
    </row>
    <row r="369" spans="1:26" x14ac:dyDescent="0.25">
      <c r="A369">
        <v>422</v>
      </c>
      <c r="B369">
        <v>463</v>
      </c>
      <c r="C369">
        <v>13</v>
      </c>
      <c r="D369" s="2" t="s">
        <v>369</v>
      </c>
      <c r="E369" t="s">
        <v>24</v>
      </c>
      <c r="F369" t="s">
        <v>375</v>
      </c>
      <c r="G369" t="str">
        <f>VLOOKUP(F369,Hospitals!E:H,4,FALSE)</f>
        <v>29.42888 , 76.80289</v>
      </c>
      <c r="H369" s="1">
        <v>45373</v>
      </c>
      <c r="I369" s="1">
        <v>45373</v>
      </c>
      <c r="J369">
        <v>3.8220000000000001</v>
      </c>
      <c r="K369">
        <v>3.55</v>
      </c>
      <c r="L369">
        <v>3.4089999999999998</v>
      </c>
      <c r="M369">
        <v>11.765000000000001</v>
      </c>
      <c r="N369">
        <v>8.6959999999999997</v>
      </c>
      <c r="O369">
        <v>8.6959999999999997</v>
      </c>
      <c r="P369">
        <v>11.765000000000001</v>
      </c>
      <c r="Q369">
        <v>8.6959999999999997</v>
      </c>
      <c r="R369">
        <v>8.6959999999999997</v>
      </c>
      <c r="S369">
        <v>0</v>
      </c>
      <c r="T369">
        <v>0</v>
      </c>
      <c r="U369">
        <v>0</v>
      </c>
      <c r="V369">
        <f t="shared" si="15"/>
        <v>6.8380000000000001</v>
      </c>
      <c r="W369">
        <f t="shared" si="16"/>
        <v>5.2355</v>
      </c>
      <c r="X369">
        <f t="shared" si="17"/>
        <v>5.2002500000000005</v>
      </c>
      <c r="Y369">
        <v>13</v>
      </c>
      <c r="Z369" s="2" t="s">
        <v>369</v>
      </c>
    </row>
    <row r="370" spans="1:26" x14ac:dyDescent="0.25">
      <c r="A370">
        <v>468</v>
      </c>
      <c r="B370">
        <v>463</v>
      </c>
      <c r="C370">
        <v>13</v>
      </c>
      <c r="D370" s="2" t="s">
        <v>369</v>
      </c>
      <c r="E370" t="s">
        <v>24</v>
      </c>
      <c r="F370" t="s">
        <v>375</v>
      </c>
      <c r="G370" t="str">
        <f>VLOOKUP(F370,Hospitals!E:H,4,FALSE)</f>
        <v>29.42888 , 76.80289</v>
      </c>
      <c r="H370" s="1">
        <v>45373</v>
      </c>
      <c r="I370" t="s">
        <v>35</v>
      </c>
      <c r="J370">
        <v>3.8220000000000001</v>
      </c>
      <c r="K370">
        <v>3.55</v>
      </c>
      <c r="L370">
        <v>3.4089999999999998</v>
      </c>
      <c r="M370">
        <v>11.765000000000001</v>
      </c>
      <c r="N370">
        <v>8.6959999999999997</v>
      </c>
      <c r="O370">
        <v>8.6959999999999997</v>
      </c>
      <c r="P370">
        <v>11.765000000000001</v>
      </c>
      <c r="Q370">
        <v>8.6959999999999997</v>
      </c>
      <c r="R370">
        <v>8.6959999999999997</v>
      </c>
      <c r="S370">
        <v>0</v>
      </c>
      <c r="T370">
        <v>0</v>
      </c>
      <c r="U370">
        <v>0</v>
      </c>
      <c r="V370">
        <f t="shared" si="15"/>
        <v>6.8380000000000001</v>
      </c>
      <c r="W370">
        <f t="shared" si="16"/>
        <v>5.2355</v>
      </c>
      <c r="X370">
        <f t="shared" si="17"/>
        <v>5.2002500000000005</v>
      </c>
      <c r="Y370">
        <v>13</v>
      </c>
      <c r="Z370" s="2" t="s">
        <v>369</v>
      </c>
    </row>
    <row r="371" spans="1:26" x14ac:dyDescent="0.25">
      <c r="A371">
        <v>330</v>
      </c>
      <c r="B371">
        <v>464</v>
      </c>
      <c r="C371" t="s">
        <v>22</v>
      </c>
      <c r="D371" t="s">
        <v>367</v>
      </c>
      <c r="E371" t="s">
        <v>62</v>
      </c>
      <c r="F371" t="s">
        <v>376</v>
      </c>
      <c r="G371" t="str">
        <f>VLOOKUP(F371,Hospitals!E:H,4,FALSE)</f>
        <v>29.4486 , 76.96548</v>
      </c>
      <c r="H371" s="1">
        <v>45387</v>
      </c>
      <c r="I371" s="1">
        <v>45387</v>
      </c>
      <c r="J371">
        <v>84.712999999999994</v>
      </c>
      <c r="K371">
        <v>82.248999999999995</v>
      </c>
      <c r="L371">
        <v>79.545000000000002</v>
      </c>
      <c r="M371">
        <v>100</v>
      </c>
      <c r="N371">
        <v>100</v>
      </c>
      <c r="O371">
        <v>100</v>
      </c>
      <c r="P371">
        <v>100</v>
      </c>
      <c r="Q371">
        <v>100</v>
      </c>
      <c r="R371">
        <v>100</v>
      </c>
      <c r="S371">
        <v>50</v>
      </c>
      <c r="T371">
        <v>50</v>
      </c>
      <c r="U371">
        <v>35.713999999999999</v>
      </c>
      <c r="V371">
        <f t="shared" si="15"/>
        <v>83.678249999999991</v>
      </c>
      <c r="W371">
        <f t="shared" si="16"/>
        <v>83.062250000000006</v>
      </c>
      <c r="X371">
        <f t="shared" si="17"/>
        <v>78.814750000000004</v>
      </c>
      <c r="Y371">
        <v>13</v>
      </c>
      <c r="Z371" s="2" t="s">
        <v>369</v>
      </c>
    </row>
    <row r="372" spans="1:26" x14ac:dyDescent="0.25">
      <c r="A372">
        <v>788</v>
      </c>
      <c r="B372">
        <v>465</v>
      </c>
      <c r="C372" t="s">
        <v>22</v>
      </c>
      <c r="D372" t="s">
        <v>367</v>
      </c>
      <c r="E372" t="s">
        <v>27</v>
      </c>
      <c r="F372" t="s">
        <v>377</v>
      </c>
      <c r="G372" t="str">
        <f>VLOOKUP(F372,Hospitals!E:H,4,FALSE)</f>
        <v>28.66872 , 77.17192</v>
      </c>
      <c r="H372" s="1">
        <v>45472</v>
      </c>
      <c r="I372" s="1">
        <v>45472</v>
      </c>
      <c r="J372">
        <v>60.51</v>
      </c>
      <c r="K372">
        <v>56.213000000000001</v>
      </c>
      <c r="L372">
        <v>53.976999999999997</v>
      </c>
      <c r="M372">
        <v>64.706000000000003</v>
      </c>
      <c r="N372">
        <v>52.173999999999999</v>
      </c>
      <c r="O372">
        <v>52.173999999999999</v>
      </c>
      <c r="P372">
        <v>64.706000000000003</v>
      </c>
      <c r="Q372">
        <v>52.173999999999999</v>
      </c>
      <c r="R372">
        <v>52.173999999999999</v>
      </c>
      <c r="S372">
        <v>10</v>
      </c>
      <c r="T372">
        <v>8.3330000000000002</v>
      </c>
      <c r="U372">
        <v>0</v>
      </c>
      <c r="V372">
        <f t="shared" si="15"/>
        <v>49.980500000000006</v>
      </c>
      <c r="W372">
        <f t="shared" si="16"/>
        <v>42.223500000000001</v>
      </c>
      <c r="X372">
        <f t="shared" si="17"/>
        <v>39.581249999999997</v>
      </c>
      <c r="Y372">
        <v>13</v>
      </c>
      <c r="Z372" s="2" t="s">
        <v>369</v>
      </c>
    </row>
    <row r="373" spans="1:26" x14ac:dyDescent="0.25">
      <c r="A373">
        <v>736</v>
      </c>
      <c r="B373">
        <v>466</v>
      </c>
      <c r="C373" t="s">
        <v>22</v>
      </c>
      <c r="D373" t="s">
        <v>367</v>
      </c>
      <c r="E373" t="s">
        <v>27</v>
      </c>
      <c r="F373" t="s">
        <v>378</v>
      </c>
      <c r="G373" t="str">
        <f>VLOOKUP(F373,Hospitals!E:H,4,FALSE)</f>
        <v>29.37389 , 77.01488</v>
      </c>
      <c r="H373" s="1">
        <v>45427</v>
      </c>
      <c r="I373" s="1">
        <v>45427</v>
      </c>
      <c r="J373">
        <v>40.764000000000003</v>
      </c>
      <c r="K373">
        <v>37.869999999999997</v>
      </c>
      <c r="L373">
        <v>36.363999999999997</v>
      </c>
      <c r="M373">
        <v>29.411999999999999</v>
      </c>
      <c r="N373">
        <v>21.739000000000001</v>
      </c>
      <c r="O373">
        <v>21.739000000000001</v>
      </c>
      <c r="P373">
        <v>29.411999999999999</v>
      </c>
      <c r="Q373">
        <v>21.739000000000001</v>
      </c>
      <c r="R373">
        <v>21.739000000000001</v>
      </c>
      <c r="S373">
        <v>0</v>
      </c>
      <c r="T373">
        <v>0</v>
      </c>
      <c r="U373">
        <v>0</v>
      </c>
      <c r="V373">
        <f t="shared" si="15"/>
        <v>24.896999999999998</v>
      </c>
      <c r="W373">
        <f t="shared" si="16"/>
        <v>20.337</v>
      </c>
      <c r="X373">
        <f t="shared" si="17"/>
        <v>19.9605</v>
      </c>
      <c r="Y373">
        <v>13</v>
      </c>
      <c r="Z373" s="2" t="s">
        <v>369</v>
      </c>
    </row>
    <row r="374" spans="1:26" x14ac:dyDescent="0.25">
      <c r="A374">
        <v>499</v>
      </c>
      <c r="B374">
        <v>467</v>
      </c>
      <c r="C374" t="s">
        <v>22</v>
      </c>
      <c r="D374" t="s">
        <v>367</v>
      </c>
      <c r="E374" t="s">
        <v>27</v>
      </c>
      <c r="F374" t="s">
        <v>379</v>
      </c>
      <c r="G374" t="str">
        <f>VLOOKUP(F374,Hospitals!E:H,4,FALSE)</f>
        <v>28.99308 , 77.01507</v>
      </c>
      <c r="H374" s="1">
        <v>45411</v>
      </c>
      <c r="I374" s="1">
        <v>45411</v>
      </c>
      <c r="J374">
        <v>9.5540000000000003</v>
      </c>
      <c r="K374">
        <v>8.8759999999999994</v>
      </c>
      <c r="L374">
        <v>8.5229999999999997</v>
      </c>
      <c r="M374">
        <v>5.8819999999999997</v>
      </c>
      <c r="N374">
        <v>4.3479999999999999</v>
      </c>
      <c r="O374">
        <v>4.3479999999999999</v>
      </c>
      <c r="P374">
        <v>5.8819999999999997</v>
      </c>
      <c r="Q374">
        <v>4.3479999999999999</v>
      </c>
      <c r="R374">
        <v>4.3479999999999999</v>
      </c>
      <c r="S374">
        <v>0</v>
      </c>
      <c r="T374">
        <v>0</v>
      </c>
      <c r="U374">
        <v>0</v>
      </c>
      <c r="V374">
        <f t="shared" si="15"/>
        <v>5.3294999999999995</v>
      </c>
      <c r="W374">
        <f t="shared" si="16"/>
        <v>4.3929999999999998</v>
      </c>
      <c r="X374">
        <f t="shared" si="17"/>
        <v>4.3047499999999994</v>
      </c>
      <c r="Y374">
        <v>13</v>
      </c>
      <c r="Z374" s="2" t="s">
        <v>369</v>
      </c>
    </row>
    <row r="375" spans="1:26" x14ac:dyDescent="0.25">
      <c r="A375">
        <v>675</v>
      </c>
      <c r="B375">
        <v>467</v>
      </c>
      <c r="C375" t="s">
        <v>22</v>
      </c>
      <c r="D375" t="s">
        <v>367</v>
      </c>
      <c r="E375" t="s">
        <v>27</v>
      </c>
      <c r="F375" t="s">
        <v>379</v>
      </c>
      <c r="G375" t="str">
        <f>VLOOKUP(F375,Hospitals!E:H,4,FALSE)</f>
        <v>28.99308 , 77.01507</v>
      </c>
      <c r="H375" s="1">
        <v>45413</v>
      </c>
      <c r="I375" s="1">
        <v>45426</v>
      </c>
      <c r="J375">
        <v>9.5540000000000003</v>
      </c>
      <c r="K375">
        <v>8.8759999999999994</v>
      </c>
      <c r="L375">
        <v>8.5229999999999997</v>
      </c>
      <c r="M375">
        <v>5.8819999999999997</v>
      </c>
      <c r="N375">
        <v>4.3479999999999999</v>
      </c>
      <c r="O375">
        <v>4.3479999999999999</v>
      </c>
      <c r="P375">
        <v>5.8819999999999997</v>
      </c>
      <c r="Q375">
        <v>4.3479999999999999</v>
      </c>
      <c r="R375">
        <v>4.3479999999999999</v>
      </c>
      <c r="S375">
        <v>0</v>
      </c>
      <c r="T375">
        <v>0</v>
      </c>
      <c r="U375">
        <v>0</v>
      </c>
      <c r="V375">
        <f t="shared" si="15"/>
        <v>5.3294999999999995</v>
      </c>
      <c r="W375">
        <f t="shared" si="16"/>
        <v>4.3929999999999998</v>
      </c>
      <c r="X375">
        <f t="shared" si="17"/>
        <v>4.3047499999999994</v>
      </c>
      <c r="Y375">
        <v>13</v>
      </c>
      <c r="Z375" s="2" t="s">
        <v>369</v>
      </c>
    </row>
    <row r="376" spans="1:26" x14ac:dyDescent="0.25">
      <c r="A376">
        <v>732</v>
      </c>
      <c r="B376">
        <v>468</v>
      </c>
      <c r="C376" t="s">
        <v>22</v>
      </c>
      <c r="D376" t="s">
        <v>367</v>
      </c>
      <c r="E376" t="s">
        <v>27</v>
      </c>
      <c r="F376" t="s">
        <v>380</v>
      </c>
      <c r="G376" t="str">
        <f>VLOOKUP(F376,Hospitals!E:H,4,FALSE)</f>
        <v>29.27926 , 76.84838</v>
      </c>
      <c r="H376" s="1">
        <v>45426</v>
      </c>
      <c r="I376" s="1">
        <v>45426</v>
      </c>
      <c r="J376">
        <v>1.274</v>
      </c>
      <c r="K376">
        <v>1.1830000000000001</v>
      </c>
      <c r="L376">
        <v>1.1359999999999999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f t="shared" si="15"/>
        <v>0.31850000000000001</v>
      </c>
      <c r="W376">
        <f t="shared" si="16"/>
        <v>0.29575000000000001</v>
      </c>
      <c r="X376">
        <f t="shared" si="17"/>
        <v>0.28399999999999997</v>
      </c>
      <c r="Y376">
        <v>13</v>
      </c>
      <c r="Z376" s="2" t="s">
        <v>369</v>
      </c>
    </row>
    <row r="377" spans="1:26" x14ac:dyDescent="0.25">
      <c r="A377">
        <v>672</v>
      </c>
      <c r="B377">
        <v>469</v>
      </c>
      <c r="C377" t="s">
        <v>22</v>
      </c>
      <c r="D377" t="s">
        <v>367</v>
      </c>
      <c r="E377" t="s">
        <v>27</v>
      </c>
      <c r="F377" t="s">
        <v>381</v>
      </c>
      <c r="G377" t="str">
        <f>VLOOKUP(F377,Hospitals!E:H,4,FALSE)</f>
        <v>29.37651 , 76.9622</v>
      </c>
      <c r="H377" s="1">
        <v>45411</v>
      </c>
      <c r="I377" s="1">
        <v>45411</v>
      </c>
      <c r="J377">
        <v>26.751999999999999</v>
      </c>
      <c r="K377">
        <v>24.852</v>
      </c>
      <c r="L377">
        <v>23.864000000000001</v>
      </c>
      <c r="M377">
        <v>17.646999999999998</v>
      </c>
      <c r="N377">
        <v>13.042999999999999</v>
      </c>
      <c r="O377">
        <v>13.042999999999999</v>
      </c>
      <c r="P377">
        <v>17.646999999999998</v>
      </c>
      <c r="Q377">
        <v>13.042999999999999</v>
      </c>
      <c r="R377">
        <v>13.042999999999999</v>
      </c>
      <c r="S377">
        <v>0</v>
      </c>
      <c r="T377">
        <v>0</v>
      </c>
      <c r="U377">
        <v>0</v>
      </c>
      <c r="V377">
        <f t="shared" si="15"/>
        <v>15.5115</v>
      </c>
      <c r="W377">
        <f t="shared" si="16"/>
        <v>12.734499999999999</v>
      </c>
      <c r="X377">
        <f t="shared" si="17"/>
        <v>12.487499999999999</v>
      </c>
      <c r="Y377">
        <v>13</v>
      </c>
      <c r="Z377" s="2" t="s">
        <v>369</v>
      </c>
    </row>
    <row r="378" spans="1:26" x14ac:dyDescent="0.25">
      <c r="A378">
        <v>803</v>
      </c>
      <c r="B378">
        <v>47</v>
      </c>
      <c r="C378" t="s">
        <v>22</v>
      </c>
      <c r="D378" t="s">
        <v>328</v>
      </c>
      <c r="E378" t="s">
        <v>30</v>
      </c>
      <c r="F378" t="s">
        <v>382</v>
      </c>
      <c r="G378" t="str">
        <f>VLOOKUP(F378,Hospitals!E:H,4,FALSE)</f>
        <v>30.90096 , 75.85728</v>
      </c>
      <c r="H378" s="1">
        <v>45692</v>
      </c>
      <c r="I378" s="1">
        <v>45692</v>
      </c>
      <c r="J378">
        <v>9.5540000000000003</v>
      </c>
      <c r="K378">
        <v>8.8759999999999994</v>
      </c>
      <c r="L378">
        <v>9.6590000000000007</v>
      </c>
      <c r="M378">
        <v>17.646999999999998</v>
      </c>
      <c r="N378">
        <v>17.390999999999998</v>
      </c>
      <c r="O378">
        <v>17.390999999999998</v>
      </c>
      <c r="P378">
        <v>17.646999999999998</v>
      </c>
      <c r="Q378">
        <v>17.390999999999998</v>
      </c>
      <c r="R378">
        <v>17.390999999999998</v>
      </c>
      <c r="S378">
        <v>0</v>
      </c>
      <c r="T378">
        <v>0</v>
      </c>
      <c r="U378">
        <v>0</v>
      </c>
      <c r="V378">
        <f t="shared" si="15"/>
        <v>11.212</v>
      </c>
      <c r="W378">
        <f t="shared" si="16"/>
        <v>10.914499999999999</v>
      </c>
      <c r="X378">
        <f t="shared" si="17"/>
        <v>11.110249999999999</v>
      </c>
      <c r="Y378">
        <v>13</v>
      </c>
      <c r="Z378" s="2" t="s">
        <v>330</v>
      </c>
    </row>
    <row r="379" spans="1:26" x14ac:dyDescent="0.25">
      <c r="A379">
        <v>674</v>
      </c>
      <c r="B379">
        <v>470</v>
      </c>
      <c r="C379" t="s">
        <v>22</v>
      </c>
      <c r="D379" t="s">
        <v>367</v>
      </c>
      <c r="E379" t="s">
        <v>27</v>
      </c>
      <c r="F379" t="s">
        <v>383</v>
      </c>
      <c r="G379" t="str">
        <f>VLOOKUP(F379,Hospitals!E:H,4,FALSE)</f>
        <v>25.59088 , 83.52834</v>
      </c>
      <c r="H379" s="1">
        <v>45413</v>
      </c>
      <c r="I379" s="1">
        <v>45413</v>
      </c>
      <c r="J379">
        <v>9.5540000000000003</v>
      </c>
      <c r="K379">
        <v>8.8759999999999994</v>
      </c>
      <c r="L379">
        <v>8.5229999999999997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f t="shared" si="15"/>
        <v>2.3885000000000001</v>
      </c>
      <c r="W379">
        <f t="shared" si="16"/>
        <v>2.2189999999999999</v>
      </c>
      <c r="X379">
        <f t="shared" si="17"/>
        <v>2.1307499999999999</v>
      </c>
      <c r="Y379">
        <v>13</v>
      </c>
      <c r="Z379" s="2" t="s">
        <v>369</v>
      </c>
    </row>
    <row r="380" spans="1:26" x14ac:dyDescent="0.25">
      <c r="A380">
        <v>737</v>
      </c>
      <c r="B380">
        <v>471</v>
      </c>
      <c r="C380" t="s">
        <v>22</v>
      </c>
      <c r="D380" t="s">
        <v>367</v>
      </c>
      <c r="E380" t="s">
        <v>27</v>
      </c>
      <c r="F380" t="s">
        <v>384</v>
      </c>
      <c r="G380" t="str">
        <f>VLOOKUP(F380,Hospitals!E:H,4,FALSE)</f>
        <v>29.26838 , 76.84424</v>
      </c>
      <c r="H380" s="1">
        <v>45427</v>
      </c>
      <c r="I380" s="1">
        <v>45427</v>
      </c>
      <c r="J380">
        <v>21.655999999999999</v>
      </c>
      <c r="K380">
        <v>20.117999999999999</v>
      </c>
      <c r="L380">
        <v>19.318000000000001</v>
      </c>
      <c r="M380">
        <v>11.765000000000001</v>
      </c>
      <c r="N380">
        <v>8.6959999999999997</v>
      </c>
      <c r="O380">
        <v>8.6959999999999997</v>
      </c>
      <c r="P380">
        <v>11.765000000000001</v>
      </c>
      <c r="Q380">
        <v>8.6959999999999997</v>
      </c>
      <c r="R380">
        <v>8.6959999999999997</v>
      </c>
      <c r="S380">
        <v>0</v>
      </c>
      <c r="T380">
        <v>0</v>
      </c>
      <c r="U380">
        <v>0</v>
      </c>
      <c r="V380">
        <f t="shared" si="15"/>
        <v>11.2965</v>
      </c>
      <c r="W380">
        <f t="shared" si="16"/>
        <v>9.3774999999999995</v>
      </c>
      <c r="X380">
        <f t="shared" si="17"/>
        <v>9.1775000000000002</v>
      </c>
      <c r="Y380">
        <v>13</v>
      </c>
      <c r="Z380" s="2" t="s">
        <v>369</v>
      </c>
    </row>
    <row r="381" spans="1:26" x14ac:dyDescent="0.25">
      <c r="A381">
        <v>488</v>
      </c>
      <c r="B381">
        <v>472</v>
      </c>
      <c r="C381" t="s">
        <v>22</v>
      </c>
      <c r="D381" t="s">
        <v>367</v>
      </c>
      <c r="E381" t="s">
        <v>27</v>
      </c>
      <c r="F381" t="s">
        <v>385</v>
      </c>
      <c r="G381" t="str">
        <f>VLOOKUP(F381,Hospitals!E:H,4,FALSE)</f>
        <v>29.04418 , 77.06844</v>
      </c>
      <c r="H381" s="1">
        <v>45404</v>
      </c>
      <c r="I381" s="1">
        <v>45404</v>
      </c>
      <c r="J381">
        <v>24.204000000000001</v>
      </c>
      <c r="K381">
        <v>22.484999999999999</v>
      </c>
      <c r="L381">
        <v>21.591000000000001</v>
      </c>
      <c r="M381">
        <v>17.646999999999998</v>
      </c>
      <c r="N381">
        <v>13.042999999999999</v>
      </c>
      <c r="O381">
        <v>13.042999999999999</v>
      </c>
      <c r="P381">
        <v>17.646999999999998</v>
      </c>
      <c r="Q381">
        <v>13.042999999999999</v>
      </c>
      <c r="R381">
        <v>13.042999999999999</v>
      </c>
      <c r="S381">
        <v>0</v>
      </c>
      <c r="T381">
        <v>0</v>
      </c>
      <c r="U381">
        <v>0</v>
      </c>
      <c r="V381">
        <f t="shared" si="15"/>
        <v>14.874499999999999</v>
      </c>
      <c r="W381">
        <f t="shared" si="16"/>
        <v>12.142749999999999</v>
      </c>
      <c r="X381">
        <f t="shared" si="17"/>
        <v>11.91925</v>
      </c>
      <c r="Y381">
        <v>13</v>
      </c>
      <c r="Z381" s="2" t="s">
        <v>369</v>
      </c>
    </row>
    <row r="382" spans="1:26" x14ac:dyDescent="0.25">
      <c r="A382">
        <v>667</v>
      </c>
      <c r="B382">
        <v>473</v>
      </c>
      <c r="C382" t="s">
        <v>22</v>
      </c>
      <c r="D382" t="s">
        <v>367</v>
      </c>
      <c r="E382" t="s">
        <v>27</v>
      </c>
      <c r="F382" t="s">
        <v>386</v>
      </c>
      <c r="G382" t="str">
        <f>VLOOKUP(F382,Hospitals!E:H,4,FALSE)</f>
        <v>29.20828 , 76.98861</v>
      </c>
      <c r="H382" s="1">
        <v>45407</v>
      </c>
      <c r="I382" s="1">
        <v>45407</v>
      </c>
      <c r="J382">
        <v>2.548</v>
      </c>
      <c r="K382">
        <v>2.367</v>
      </c>
      <c r="L382">
        <v>2.2730000000000001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f t="shared" si="15"/>
        <v>0.63700000000000001</v>
      </c>
      <c r="W382">
        <f t="shared" si="16"/>
        <v>0.59175</v>
      </c>
      <c r="X382">
        <f t="shared" si="17"/>
        <v>0.56825000000000003</v>
      </c>
      <c r="Y382">
        <v>13</v>
      </c>
      <c r="Z382" s="2" t="s">
        <v>369</v>
      </c>
    </row>
    <row r="383" spans="1:26" x14ac:dyDescent="0.25">
      <c r="A383">
        <v>851</v>
      </c>
      <c r="B383">
        <v>474</v>
      </c>
      <c r="C383" t="s">
        <v>22</v>
      </c>
      <c r="D383" t="s">
        <v>367</v>
      </c>
      <c r="E383" t="s">
        <v>27</v>
      </c>
      <c r="F383" t="s">
        <v>387</v>
      </c>
      <c r="G383" t="str">
        <f>VLOOKUP(F383,Hospitals!E:H,4,FALSE)</f>
        <v>29.2093 , 77.02727</v>
      </c>
      <c r="H383" s="1">
        <v>45470</v>
      </c>
      <c r="I383" s="1">
        <v>45470</v>
      </c>
      <c r="J383">
        <v>22.93</v>
      </c>
      <c r="K383">
        <v>21.302</v>
      </c>
      <c r="L383">
        <v>20.454999999999998</v>
      </c>
      <c r="M383">
        <v>11.765000000000001</v>
      </c>
      <c r="N383">
        <v>8.6959999999999997</v>
      </c>
      <c r="O383">
        <v>8.6959999999999997</v>
      </c>
      <c r="P383">
        <v>11.765000000000001</v>
      </c>
      <c r="Q383">
        <v>8.6959999999999997</v>
      </c>
      <c r="R383">
        <v>8.6959999999999997</v>
      </c>
      <c r="S383">
        <v>0</v>
      </c>
      <c r="T383">
        <v>0</v>
      </c>
      <c r="U383">
        <v>0</v>
      </c>
      <c r="V383">
        <f t="shared" si="15"/>
        <v>11.615</v>
      </c>
      <c r="W383">
        <f t="shared" si="16"/>
        <v>9.6734999999999989</v>
      </c>
      <c r="X383">
        <f t="shared" si="17"/>
        <v>9.4617499999999986</v>
      </c>
      <c r="Y383">
        <v>13</v>
      </c>
      <c r="Z383" s="2" t="s">
        <v>369</v>
      </c>
    </row>
    <row r="384" spans="1:26" x14ac:dyDescent="0.25">
      <c r="A384">
        <v>500</v>
      </c>
      <c r="B384">
        <v>475</v>
      </c>
      <c r="C384" t="s">
        <v>22</v>
      </c>
      <c r="D384" t="s">
        <v>367</v>
      </c>
      <c r="E384" t="s">
        <v>27</v>
      </c>
      <c r="F384" t="s">
        <v>388</v>
      </c>
      <c r="G384" t="str">
        <f>VLOOKUP(F384,Hospitals!E:H,4,FALSE)</f>
        <v>29.45124 , 76.9859</v>
      </c>
      <c r="H384" s="1">
        <v>45377</v>
      </c>
      <c r="I384" s="1">
        <v>45377</v>
      </c>
      <c r="J384">
        <v>1.911</v>
      </c>
      <c r="K384">
        <v>1.7749999999999999</v>
      </c>
      <c r="L384">
        <v>1.7050000000000001</v>
      </c>
      <c r="M384">
        <v>5.8819999999999997</v>
      </c>
      <c r="N384">
        <v>4.3479999999999999</v>
      </c>
      <c r="O384">
        <v>4.3479999999999999</v>
      </c>
      <c r="P384">
        <v>5.8819999999999997</v>
      </c>
      <c r="Q384">
        <v>4.3479999999999999</v>
      </c>
      <c r="R384">
        <v>4.3479999999999999</v>
      </c>
      <c r="S384">
        <v>0</v>
      </c>
      <c r="T384">
        <v>0</v>
      </c>
      <c r="U384">
        <v>0</v>
      </c>
      <c r="V384">
        <f t="shared" si="15"/>
        <v>3.4187499999999997</v>
      </c>
      <c r="W384">
        <f t="shared" si="16"/>
        <v>2.61775</v>
      </c>
      <c r="X384">
        <f t="shared" si="17"/>
        <v>2.60025</v>
      </c>
      <c r="Y384">
        <v>13</v>
      </c>
      <c r="Z384" s="2" t="s">
        <v>369</v>
      </c>
    </row>
    <row r="385" spans="1:26" x14ac:dyDescent="0.25">
      <c r="A385">
        <v>482</v>
      </c>
      <c r="B385">
        <v>476</v>
      </c>
      <c r="C385" t="s">
        <v>22</v>
      </c>
      <c r="D385" t="s">
        <v>367</v>
      </c>
      <c r="E385" t="s">
        <v>27</v>
      </c>
      <c r="F385" t="s">
        <v>389</v>
      </c>
      <c r="G385" t="str">
        <f>VLOOKUP(F385,Hospitals!E:H,4,FALSE)</f>
        <v>28.99308 , 77.01507</v>
      </c>
      <c r="H385" s="1">
        <v>45415</v>
      </c>
      <c r="I385" s="1">
        <v>45415</v>
      </c>
      <c r="J385">
        <v>28.024999999999999</v>
      </c>
      <c r="K385">
        <v>26.036000000000001</v>
      </c>
      <c r="L385">
        <v>25</v>
      </c>
      <c r="M385">
        <v>11.765000000000001</v>
      </c>
      <c r="N385">
        <v>8.6959999999999997</v>
      </c>
      <c r="O385">
        <v>8.6959999999999997</v>
      </c>
      <c r="P385">
        <v>11.765000000000001</v>
      </c>
      <c r="Q385">
        <v>8.6959999999999997</v>
      </c>
      <c r="R385">
        <v>8.6959999999999997</v>
      </c>
      <c r="S385">
        <v>0</v>
      </c>
      <c r="T385">
        <v>0</v>
      </c>
      <c r="U385">
        <v>0</v>
      </c>
      <c r="V385">
        <f t="shared" si="15"/>
        <v>12.88875</v>
      </c>
      <c r="W385">
        <f t="shared" si="16"/>
        <v>10.856999999999999</v>
      </c>
      <c r="X385">
        <f t="shared" si="17"/>
        <v>10.597999999999999</v>
      </c>
      <c r="Y385">
        <v>13</v>
      </c>
      <c r="Z385" s="2" t="s">
        <v>369</v>
      </c>
    </row>
    <row r="386" spans="1:26" x14ac:dyDescent="0.25">
      <c r="A386">
        <v>682</v>
      </c>
      <c r="B386">
        <v>476</v>
      </c>
      <c r="C386" t="s">
        <v>22</v>
      </c>
      <c r="D386" t="s">
        <v>367</v>
      </c>
      <c r="E386" t="s">
        <v>27</v>
      </c>
      <c r="F386" t="s">
        <v>389</v>
      </c>
      <c r="G386" t="str">
        <f>VLOOKUP(F386,Hospitals!E:H,4,FALSE)</f>
        <v>28.99308 , 77.01507</v>
      </c>
      <c r="H386" s="1">
        <v>45415</v>
      </c>
      <c r="I386" t="s">
        <v>35</v>
      </c>
      <c r="J386">
        <v>28.024999999999999</v>
      </c>
      <c r="K386">
        <v>26.036000000000001</v>
      </c>
      <c r="L386">
        <v>25</v>
      </c>
      <c r="M386">
        <v>11.765000000000001</v>
      </c>
      <c r="N386">
        <v>8.6959999999999997</v>
      </c>
      <c r="O386">
        <v>8.6959999999999997</v>
      </c>
      <c r="P386">
        <v>11.765000000000001</v>
      </c>
      <c r="Q386">
        <v>8.6959999999999997</v>
      </c>
      <c r="R386">
        <v>8.6959999999999997</v>
      </c>
      <c r="S386">
        <v>0</v>
      </c>
      <c r="T386">
        <v>0</v>
      </c>
      <c r="U386">
        <v>0</v>
      </c>
      <c r="V386">
        <f t="shared" si="15"/>
        <v>12.88875</v>
      </c>
      <c r="W386">
        <f t="shared" si="16"/>
        <v>10.856999999999999</v>
      </c>
      <c r="X386">
        <f t="shared" si="17"/>
        <v>10.597999999999999</v>
      </c>
      <c r="Y386">
        <v>13</v>
      </c>
      <c r="Z386" s="2" t="s">
        <v>369</v>
      </c>
    </row>
    <row r="387" spans="1:26" x14ac:dyDescent="0.25">
      <c r="A387">
        <v>550</v>
      </c>
      <c r="B387">
        <v>477</v>
      </c>
      <c r="C387" t="s">
        <v>22</v>
      </c>
      <c r="D387" t="s">
        <v>367</v>
      </c>
      <c r="E387" t="s">
        <v>27</v>
      </c>
      <c r="F387" t="s">
        <v>390</v>
      </c>
      <c r="G387" t="str">
        <f>VLOOKUP(F387,Hospitals!E:H,4,FALSE)</f>
        <v>29.3841 , 76.7017</v>
      </c>
      <c r="H387" s="1">
        <v>45433</v>
      </c>
      <c r="I387" s="1">
        <v>45433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f t="shared" ref="V387:V450" si="18">AVERAGE(J387,M387,P387,S387)</f>
        <v>0</v>
      </c>
      <c r="W387">
        <f t="shared" ref="W387:W450" si="19">AVERAGE(K387,N387,Q387,T387)</f>
        <v>0</v>
      </c>
      <c r="X387">
        <f t="shared" ref="X387:X450" si="20">AVERAGE(L387,O387,R387,U387)</f>
        <v>0</v>
      </c>
      <c r="Y387">
        <v>13</v>
      </c>
      <c r="Z387" s="2" t="s">
        <v>369</v>
      </c>
    </row>
    <row r="388" spans="1:26" x14ac:dyDescent="0.25">
      <c r="A388">
        <v>723</v>
      </c>
      <c r="B388">
        <v>478</v>
      </c>
      <c r="C388" t="s">
        <v>22</v>
      </c>
      <c r="D388" t="s">
        <v>367</v>
      </c>
      <c r="E388" t="s">
        <v>27</v>
      </c>
      <c r="F388" t="s">
        <v>391</v>
      </c>
      <c r="G388" t="str">
        <f>VLOOKUP(F388,Hospitals!E:H,4,FALSE)</f>
        <v>28.99308 , 77.01507</v>
      </c>
      <c r="H388" s="1">
        <v>45425</v>
      </c>
      <c r="I388" s="1">
        <v>45425</v>
      </c>
      <c r="J388">
        <v>11.465</v>
      </c>
      <c r="K388">
        <v>10.651</v>
      </c>
      <c r="L388">
        <v>10.227</v>
      </c>
      <c r="M388">
        <v>17.646999999999998</v>
      </c>
      <c r="N388">
        <v>13.042999999999999</v>
      </c>
      <c r="O388">
        <v>13.042999999999999</v>
      </c>
      <c r="P388">
        <v>17.646999999999998</v>
      </c>
      <c r="Q388">
        <v>13.042999999999999</v>
      </c>
      <c r="R388">
        <v>13.042999999999999</v>
      </c>
      <c r="S388">
        <v>0</v>
      </c>
      <c r="T388">
        <v>0</v>
      </c>
      <c r="U388">
        <v>0</v>
      </c>
      <c r="V388">
        <f t="shared" si="18"/>
        <v>11.68975</v>
      </c>
      <c r="W388">
        <f t="shared" si="19"/>
        <v>9.1842499999999987</v>
      </c>
      <c r="X388">
        <f t="shared" si="20"/>
        <v>9.0782500000000006</v>
      </c>
      <c r="Y388">
        <v>13</v>
      </c>
      <c r="Z388" s="2" t="s">
        <v>369</v>
      </c>
    </row>
    <row r="389" spans="1:26" x14ac:dyDescent="0.25">
      <c r="A389">
        <v>1009</v>
      </c>
      <c r="B389">
        <v>479</v>
      </c>
      <c r="C389" t="s">
        <v>22</v>
      </c>
      <c r="D389" t="s">
        <v>367</v>
      </c>
      <c r="E389" t="s">
        <v>30</v>
      </c>
      <c r="F389" t="s">
        <v>392</v>
      </c>
      <c r="G389" t="str">
        <f>VLOOKUP(F389,Hospitals!E:H,4,FALSE)</f>
        <v>29.38681 , 76.95277</v>
      </c>
      <c r="H389" s="1">
        <v>45723</v>
      </c>
      <c r="I389" s="1">
        <v>45723</v>
      </c>
      <c r="J389">
        <v>98.088999999999999</v>
      </c>
      <c r="K389">
        <v>97.040999999999997</v>
      </c>
      <c r="L389">
        <v>96.590999999999994</v>
      </c>
      <c r="M389">
        <v>88.234999999999999</v>
      </c>
      <c r="N389">
        <v>86.956999999999994</v>
      </c>
      <c r="O389">
        <v>86.956999999999994</v>
      </c>
      <c r="P389">
        <v>88.234999999999999</v>
      </c>
      <c r="Q389">
        <v>86.956999999999994</v>
      </c>
      <c r="R389">
        <v>86.956999999999994</v>
      </c>
      <c r="S389">
        <v>40</v>
      </c>
      <c r="T389">
        <v>16.667000000000002</v>
      </c>
      <c r="U389">
        <v>0</v>
      </c>
      <c r="V389">
        <f t="shared" si="18"/>
        <v>78.639750000000006</v>
      </c>
      <c r="W389">
        <f t="shared" si="19"/>
        <v>71.905499999999989</v>
      </c>
      <c r="X389">
        <f t="shared" si="20"/>
        <v>67.626249999999999</v>
      </c>
      <c r="Y389">
        <v>13</v>
      </c>
      <c r="Z389" s="2" t="s">
        <v>369</v>
      </c>
    </row>
    <row r="390" spans="1:26" x14ac:dyDescent="0.25">
      <c r="A390">
        <v>1165</v>
      </c>
      <c r="B390">
        <v>479</v>
      </c>
      <c r="C390" t="s">
        <v>22</v>
      </c>
      <c r="D390" t="s">
        <v>367</v>
      </c>
      <c r="E390" t="s">
        <v>30</v>
      </c>
      <c r="F390" t="s">
        <v>392</v>
      </c>
      <c r="G390" t="str">
        <f>VLOOKUP(F390,Hospitals!E:H,4,FALSE)</f>
        <v>29.38681 , 76.95277</v>
      </c>
      <c r="H390" s="1">
        <v>45723</v>
      </c>
      <c r="I390" s="1">
        <v>45723</v>
      </c>
      <c r="J390">
        <v>98.088999999999999</v>
      </c>
      <c r="K390">
        <v>97.040999999999997</v>
      </c>
      <c r="L390">
        <v>96.590999999999994</v>
      </c>
      <c r="M390">
        <v>88.234999999999999</v>
      </c>
      <c r="N390">
        <v>86.956999999999994</v>
      </c>
      <c r="O390">
        <v>86.956999999999994</v>
      </c>
      <c r="P390">
        <v>88.234999999999999</v>
      </c>
      <c r="Q390">
        <v>86.956999999999994</v>
      </c>
      <c r="R390">
        <v>86.956999999999994</v>
      </c>
      <c r="S390">
        <v>40</v>
      </c>
      <c r="T390">
        <v>16.667000000000002</v>
      </c>
      <c r="U390">
        <v>0</v>
      </c>
      <c r="V390">
        <f t="shared" si="18"/>
        <v>78.639750000000006</v>
      </c>
      <c r="W390">
        <f t="shared" si="19"/>
        <v>71.905499999999989</v>
      </c>
      <c r="X390">
        <f t="shared" si="20"/>
        <v>67.626249999999999</v>
      </c>
      <c r="Y390">
        <v>13</v>
      </c>
      <c r="Z390" s="2" t="s">
        <v>369</v>
      </c>
    </row>
    <row r="391" spans="1:26" x14ac:dyDescent="0.25">
      <c r="A391">
        <v>915</v>
      </c>
      <c r="B391">
        <v>48</v>
      </c>
      <c r="C391" t="s">
        <v>22</v>
      </c>
      <c r="D391" t="s">
        <v>328</v>
      </c>
      <c r="E391" t="s">
        <v>30</v>
      </c>
      <c r="F391" t="s">
        <v>393</v>
      </c>
      <c r="G391" t="str">
        <f>VLOOKUP(F391,Hospitals!E:H,4,FALSE)</f>
        <v>28.80011 , 76.14278</v>
      </c>
      <c r="H391" s="1">
        <v>45499</v>
      </c>
      <c r="I391" s="1">
        <v>45499</v>
      </c>
      <c r="J391">
        <v>57.325000000000003</v>
      </c>
      <c r="K391">
        <v>55.621000000000002</v>
      </c>
      <c r="L391">
        <v>53.976999999999997</v>
      </c>
      <c r="M391">
        <v>52.941000000000003</v>
      </c>
      <c r="N391">
        <v>47.826000000000001</v>
      </c>
      <c r="O391">
        <v>47.826000000000001</v>
      </c>
      <c r="P391">
        <v>52.941000000000003</v>
      </c>
      <c r="Q391">
        <v>47.826000000000001</v>
      </c>
      <c r="R391">
        <v>47.826000000000001</v>
      </c>
      <c r="S391">
        <v>30</v>
      </c>
      <c r="T391">
        <v>8.3330000000000002</v>
      </c>
      <c r="U391">
        <v>0</v>
      </c>
      <c r="V391">
        <f t="shared" si="18"/>
        <v>48.301749999999998</v>
      </c>
      <c r="W391">
        <f t="shared" si="19"/>
        <v>39.901499999999999</v>
      </c>
      <c r="X391">
        <f t="shared" si="20"/>
        <v>37.407249999999998</v>
      </c>
      <c r="Y391">
        <v>13</v>
      </c>
      <c r="Z391" s="2" t="s">
        <v>330</v>
      </c>
    </row>
    <row r="392" spans="1:26" x14ac:dyDescent="0.25">
      <c r="A392">
        <v>317</v>
      </c>
      <c r="B392">
        <v>481</v>
      </c>
      <c r="C392" t="s">
        <v>22</v>
      </c>
      <c r="D392" t="s">
        <v>367</v>
      </c>
      <c r="E392" t="s">
        <v>30</v>
      </c>
      <c r="F392" t="s">
        <v>394</v>
      </c>
      <c r="G392" t="str">
        <f>VLOOKUP(F392,Hospitals!E:H,4,FALSE)</f>
        <v>29.38909 , 76.97582</v>
      </c>
      <c r="H392" s="1">
        <v>45356</v>
      </c>
      <c r="I392" s="1">
        <v>45356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  <c r="P392">
        <v>100</v>
      </c>
      <c r="Q392">
        <v>100</v>
      </c>
      <c r="R392">
        <v>100</v>
      </c>
      <c r="S392">
        <v>70</v>
      </c>
      <c r="T392">
        <v>75</v>
      </c>
      <c r="U392">
        <v>57.143000000000001</v>
      </c>
      <c r="V392">
        <f t="shared" si="18"/>
        <v>92.5</v>
      </c>
      <c r="W392">
        <f t="shared" si="19"/>
        <v>93.75</v>
      </c>
      <c r="X392">
        <f t="shared" si="20"/>
        <v>89.285750000000007</v>
      </c>
      <c r="Y392">
        <v>13</v>
      </c>
      <c r="Z392" s="2" t="s">
        <v>369</v>
      </c>
    </row>
    <row r="393" spans="1:26" x14ac:dyDescent="0.25">
      <c r="A393">
        <v>316</v>
      </c>
      <c r="B393">
        <v>483</v>
      </c>
      <c r="C393" t="s">
        <v>22</v>
      </c>
      <c r="D393" t="s">
        <v>367</v>
      </c>
      <c r="E393" t="s">
        <v>30</v>
      </c>
      <c r="F393" t="s">
        <v>395</v>
      </c>
      <c r="G393" t="str">
        <f>VLOOKUP(F393,Hospitals!E:H,4,FALSE)</f>
        <v>30.70398 , 76.90092</v>
      </c>
      <c r="H393" s="1">
        <v>45355</v>
      </c>
      <c r="I393" s="1">
        <v>45355</v>
      </c>
      <c r="J393">
        <v>70.700999999999993</v>
      </c>
      <c r="K393">
        <v>68.638999999999996</v>
      </c>
      <c r="L393">
        <v>65.909000000000006</v>
      </c>
      <c r="M393">
        <v>47.058999999999997</v>
      </c>
      <c r="N393">
        <v>47.826000000000001</v>
      </c>
      <c r="O393">
        <v>47.826000000000001</v>
      </c>
      <c r="P393">
        <v>47.058999999999997</v>
      </c>
      <c r="Q393">
        <v>47.826000000000001</v>
      </c>
      <c r="R393">
        <v>47.826000000000001</v>
      </c>
      <c r="S393">
        <v>10</v>
      </c>
      <c r="T393">
        <v>8.3330000000000002</v>
      </c>
      <c r="U393">
        <v>7.1429999999999998</v>
      </c>
      <c r="V393">
        <f t="shared" si="18"/>
        <v>43.704749999999997</v>
      </c>
      <c r="W393">
        <f t="shared" si="19"/>
        <v>43.155999999999999</v>
      </c>
      <c r="X393">
        <f t="shared" si="20"/>
        <v>42.176000000000002</v>
      </c>
      <c r="Y393">
        <v>13</v>
      </c>
      <c r="Z393" s="2" t="s">
        <v>369</v>
      </c>
    </row>
    <row r="394" spans="1:26" x14ac:dyDescent="0.25">
      <c r="A394">
        <v>1010</v>
      </c>
      <c r="B394">
        <v>485</v>
      </c>
      <c r="C394" t="s">
        <v>22</v>
      </c>
      <c r="D394" t="s">
        <v>367</v>
      </c>
      <c r="E394" t="s">
        <v>30</v>
      </c>
      <c r="F394" t="s">
        <v>396</v>
      </c>
      <c r="G394" t="str">
        <f>VLOOKUP(F394,Hospitals!E:H,4,FALSE)</f>
        <v>30.73311 , 76.80492</v>
      </c>
      <c r="H394" s="1">
        <v>45545</v>
      </c>
      <c r="I394" s="1">
        <v>45545</v>
      </c>
      <c r="J394">
        <v>75.796000000000006</v>
      </c>
      <c r="K394">
        <v>74.555999999999997</v>
      </c>
      <c r="L394">
        <v>72.727000000000004</v>
      </c>
      <c r="M394">
        <v>88.234999999999999</v>
      </c>
      <c r="N394">
        <v>82.608999999999995</v>
      </c>
      <c r="O394">
        <v>82.608999999999995</v>
      </c>
      <c r="P394">
        <v>88.234999999999999</v>
      </c>
      <c r="Q394">
        <v>82.608999999999995</v>
      </c>
      <c r="R394">
        <v>82.608999999999995</v>
      </c>
      <c r="S394">
        <v>30</v>
      </c>
      <c r="T394">
        <v>25</v>
      </c>
      <c r="U394">
        <v>7.1429999999999998</v>
      </c>
      <c r="V394">
        <f t="shared" si="18"/>
        <v>70.566500000000005</v>
      </c>
      <c r="W394">
        <f t="shared" si="19"/>
        <v>66.1935</v>
      </c>
      <c r="X394">
        <f t="shared" si="20"/>
        <v>61.271999999999998</v>
      </c>
      <c r="Y394">
        <v>13</v>
      </c>
      <c r="Z394" s="2" t="s">
        <v>369</v>
      </c>
    </row>
    <row r="395" spans="1:26" x14ac:dyDescent="0.25">
      <c r="A395">
        <v>378</v>
      </c>
      <c r="B395">
        <v>486</v>
      </c>
      <c r="C395" t="s">
        <v>22</v>
      </c>
      <c r="D395" t="s">
        <v>367</v>
      </c>
      <c r="E395" t="s">
        <v>30</v>
      </c>
      <c r="F395" t="s">
        <v>397</v>
      </c>
      <c r="G395" t="e">
        <f>VLOOKUP(F395,Hospitals!E:H,4,FALSE)</f>
        <v>#N/A</v>
      </c>
      <c r="H395" s="1">
        <v>45365</v>
      </c>
      <c r="I395" t="s">
        <v>35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f t="shared" si="18"/>
        <v>0</v>
      </c>
      <c r="W395">
        <f t="shared" si="19"/>
        <v>0</v>
      </c>
      <c r="X395">
        <f t="shared" si="20"/>
        <v>0</v>
      </c>
      <c r="Y395">
        <v>13</v>
      </c>
      <c r="Z395" s="2" t="s">
        <v>369</v>
      </c>
    </row>
    <row r="396" spans="1:26" x14ac:dyDescent="0.25">
      <c r="A396">
        <v>319</v>
      </c>
      <c r="B396">
        <v>487</v>
      </c>
      <c r="C396" t="s">
        <v>22</v>
      </c>
      <c r="D396" t="s">
        <v>367</v>
      </c>
      <c r="E396" t="s">
        <v>30</v>
      </c>
      <c r="F396" t="s">
        <v>398</v>
      </c>
      <c r="G396" t="str">
        <f>VLOOKUP(F396,Hospitals!E:H,4,FALSE)</f>
        <v>29.36668 , 76.97531</v>
      </c>
      <c r="H396" s="1">
        <v>45373</v>
      </c>
      <c r="I396" t="s">
        <v>35</v>
      </c>
      <c r="J396">
        <v>97.451999999999998</v>
      </c>
      <c r="K396">
        <v>97.040999999999997</v>
      </c>
      <c r="L396">
        <v>96.590999999999994</v>
      </c>
      <c r="M396">
        <v>82.352999999999994</v>
      </c>
      <c r="N396">
        <v>82.608999999999995</v>
      </c>
      <c r="O396">
        <v>82.608999999999995</v>
      </c>
      <c r="P396">
        <v>82.352999999999994</v>
      </c>
      <c r="Q396">
        <v>82.608999999999995</v>
      </c>
      <c r="R396">
        <v>82.608999999999995</v>
      </c>
      <c r="S396">
        <v>40</v>
      </c>
      <c r="T396">
        <v>41.667000000000002</v>
      </c>
      <c r="U396">
        <v>21.428999999999998</v>
      </c>
      <c r="V396">
        <f t="shared" si="18"/>
        <v>75.539500000000004</v>
      </c>
      <c r="W396">
        <f t="shared" si="19"/>
        <v>75.981499999999983</v>
      </c>
      <c r="X396">
        <f t="shared" si="20"/>
        <v>70.809499999999986</v>
      </c>
      <c r="Y396">
        <v>13</v>
      </c>
      <c r="Z396" s="2" t="s">
        <v>369</v>
      </c>
    </row>
    <row r="397" spans="1:26" x14ac:dyDescent="0.25">
      <c r="A397">
        <v>466</v>
      </c>
      <c r="B397">
        <v>488</v>
      </c>
      <c r="C397" t="s">
        <v>22</v>
      </c>
      <c r="D397" t="s">
        <v>367</v>
      </c>
      <c r="E397" t="s">
        <v>30</v>
      </c>
      <c r="F397" t="s">
        <v>399</v>
      </c>
      <c r="G397" t="e">
        <f>VLOOKUP(F397,Hospitals!E:H,4,FALSE)</f>
        <v>#N/A</v>
      </c>
      <c r="H397" s="1">
        <v>45373</v>
      </c>
      <c r="I397" t="s">
        <v>35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f t="shared" si="18"/>
        <v>0</v>
      </c>
      <c r="W397">
        <f t="shared" si="19"/>
        <v>0</v>
      </c>
      <c r="X397">
        <f t="shared" si="20"/>
        <v>0</v>
      </c>
      <c r="Y397">
        <v>13</v>
      </c>
      <c r="Z397" s="2" t="s">
        <v>369</v>
      </c>
    </row>
    <row r="398" spans="1:26" x14ac:dyDescent="0.25">
      <c r="A398">
        <v>386</v>
      </c>
      <c r="B398">
        <v>489</v>
      </c>
      <c r="C398" t="s">
        <v>22</v>
      </c>
      <c r="D398" t="s">
        <v>367</v>
      </c>
      <c r="E398" t="s">
        <v>30</v>
      </c>
      <c r="F398" t="s">
        <v>400</v>
      </c>
      <c r="G398" t="str">
        <f>VLOOKUP(F398,Hospitals!E:H,4,FALSE)</f>
        <v>29.38896 , 76.98647</v>
      </c>
      <c r="H398" s="1">
        <v>45742</v>
      </c>
      <c r="I398" s="1">
        <v>45742</v>
      </c>
      <c r="J398">
        <v>29.298999999999999</v>
      </c>
      <c r="K398">
        <v>27.811</v>
      </c>
      <c r="L398">
        <v>26.704999999999998</v>
      </c>
      <c r="M398">
        <v>23.529</v>
      </c>
      <c r="N398">
        <v>26.087</v>
      </c>
      <c r="O398">
        <v>26.087</v>
      </c>
      <c r="P398">
        <v>23.529</v>
      </c>
      <c r="Q398">
        <v>26.087</v>
      </c>
      <c r="R398">
        <v>26.087</v>
      </c>
      <c r="S398">
        <v>0</v>
      </c>
      <c r="T398">
        <v>0</v>
      </c>
      <c r="U398">
        <v>0</v>
      </c>
      <c r="V398">
        <f t="shared" si="18"/>
        <v>19.08925</v>
      </c>
      <c r="W398">
        <f t="shared" si="19"/>
        <v>19.99625</v>
      </c>
      <c r="X398">
        <f t="shared" si="20"/>
        <v>19.719750000000001</v>
      </c>
      <c r="Y398">
        <v>13</v>
      </c>
      <c r="Z398" s="2" t="s">
        <v>369</v>
      </c>
    </row>
    <row r="399" spans="1:26" x14ac:dyDescent="0.25">
      <c r="A399">
        <v>895</v>
      </c>
      <c r="B399">
        <v>49</v>
      </c>
      <c r="C399" t="s">
        <v>22</v>
      </c>
      <c r="D399" t="s">
        <v>328</v>
      </c>
      <c r="E399" t="s">
        <v>30</v>
      </c>
      <c r="F399" t="s">
        <v>401</v>
      </c>
      <c r="G399" t="str">
        <f>VLOOKUP(F399,Hospitals!E:H,4,FALSE)</f>
        <v>28.79871 , 76.1438</v>
      </c>
      <c r="H399" s="1">
        <v>45492</v>
      </c>
      <c r="I399" s="1">
        <v>45492</v>
      </c>
      <c r="J399">
        <v>31.847000000000001</v>
      </c>
      <c r="K399">
        <v>30.768999999999998</v>
      </c>
      <c r="L399">
        <v>29.545000000000002</v>
      </c>
      <c r="M399">
        <v>35.293999999999997</v>
      </c>
      <c r="N399">
        <v>43.478000000000002</v>
      </c>
      <c r="O399">
        <v>43.478000000000002</v>
      </c>
      <c r="P399">
        <v>35.293999999999997</v>
      </c>
      <c r="Q399">
        <v>43.478000000000002</v>
      </c>
      <c r="R399">
        <v>43.478000000000002</v>
      </c>
      <c r="S399">
        <v>10</v>
      </c>
      <c r="T399">
        <v>8.3330000000000002</v>
      </c>
      <c r="U399">
        <v>7.1429999999999998</v>
      </c>
      <c r="V399">
        <f t="shared" si="18"/>
        <v>28.108749999999997</v>
      </c>
      <c r="W399">
        <f t="shared" si="19"/>
        <v>31.514499999999998</v>
      </c>
      <c r="X399">
        <f t="shared" si="20"/>
        <v>30.911000000000001</v>
      </c>
      <c r="Y399">
        <v>13</v>
      </c>
      <c r="Z399" s="2" t="s">
        <v>330</v>
      </c>
    </row>
    <row r="400" spans="1:26" x14ac:dyDescent="0.25">
      <c r="A400">
        <v>373</v>
      </c>
      <c r="B400">
        <v>491</v>
      </c>
      <c r="C400" t="s">
        <v>22</v>
      </c>
      <c r="D400" t="s">
        <v>367</v>
      </c>
      <c r="E400" t="s">
        <v>30</v>
      </c>
      <c r="F400" t="s">
        <v>402</v>
      </c>
      <c r="G400" t="str">
        <f>VLOOKUP(F400,Hospitals!E:H,4,FALSE)</f>
        <v>30.35628 , 76.85734</v>
      </c>
      <c r="H400" s="1">
        <v>45374</v>
      </c>
      <c r="I400" t="s">
        <v>35</v>
      </c>
      <c r="J400">
        <v>77.706999999999994</v>
      </c>
      <c r="K400">
        <v>75.147999999999996</v>
      </c>
      <c r="L400">
        <v>72.727000000000004</v>
      </c>
      <c r="M400">
        <v>64.706000000000003</v>
      </c>
      <c r="N400">
        <v>65.216999999999999</v>
      </c>
      <c r="O400">
        <v>65.216999999999999</v>
      </c>
      <c r="P400">
        <v>64.706000000000003</v>
      </c>
      <c r="Q400">
        <v>65.216999999999999</v>
      </c>
      <c r="R400">
        <v>65.216999999999999</v>
      </c>
      <c r="S400">
        <v>0</v>
      </c>
      <c r="T400">
        <v>0</v>
      </c>
      <c r="U400">
        <v>0</v>
      </c>
      <c r="V400">
        <f t="shared" si="18"/>
        <v>51.779750000000007</v>
      </c>
      <c r="W400">
        <f t="shared" si="19"/>
        <v>51.395499999999998</v>
      </c>
      <c r="X400">
        <f t="shared" si="20"/>
        <v>50.79025</v>
      </c>
      <c r="Y400">
        <v>13</v>
      </c>
      <c r="Z400" s="2" t="s">
        <v>369</v>
      </c>
    </row>
    <row r="401" spans="1:26" x14ac:dyDescent="0.25">
      <c r="A401">
        <v>399</v>
      </c>
      <c r="B401">
        <v>492</v>
      </c>
      <c r="C401" t="s">
        <v>22</v>
      </c>
      <c r="D401" t="s">
        <v>367</v>
      </c>
      <c r="E401" t="s">
        <v>30</v>
      </c>
      <c r="F401" t="s">
        <v>403</v>
      </c>
      <c r="G401" t="e">
        <f>VLOOKUP(F401,Hospitals!E:H,4,FALSE)</f>
        <v>#N/A</v>
      </c>
      <c r="H401" s="1">
        <v>45367</v>
      </c>
      <c r="I401" t="s">
        <v>35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f t="shared" si="18"/>
        <v>0</v>
      </c>
      <c r="W401">
        <f t="shared" si="19"/>
        <v>0</v>
      </c>
      <c r="X401">
        <f t="shared" si="20"/>
        <v>0</v>
      </c>
      <c r="Y401">
        <v>13</v>
      </c>
      <c r="Z401" s="2" t="s">
        <v>369</v>
      </c>
    </row>
    <row r="402" spans="1:26" x14ac:dyDescent="0.25">
      <c r="A402">
        <v>369</v>
      </c>
      <c r="B402">
        <v>493</v>
      </c>
      <c r="C402" t="s">
        <v>22</v>
      </c>
      <c r="D402" t="s">
        <v>367</v>
      </c>
      <c r="E402" t="s">
        <v>30</v>
      </c>
      <c r="F402" t="s">
        <v>404</v>
      </c>
      <c r="G402" t="str">
        <f>VLOOKUP(F402,Hospitals!E:H,4,FALSE)</f>
        <v>29.4038 , 76.97085</v>
      </c>
      <c r="H402" s="1">
        <v>45364</v>
      </c>
      <c r="I402" s="1">
        <v>45364</v>
      </c>
      <c r="J402">
        <v>73.248000000000005</v>
      </c>
      <c r="K402">
        <v>70.414000000000001</v>
      </c>
      <c r="L402">
        <v>67.614000000000004</v>
      </c>
      <c r="M402">
        <v>64.706000000000003</v>
      </c>
      <c r="N402">
        <v>69.564999999999998</v>
      </c>
      <c r="O402">
        <v>69.564999999999998</v>
      </c>
      <c r="P402">
        <v>64.706000000000003</v>
      </c>
      <c r="Q402">
        <v>69.564999999999998</v>
      </c>
      <c r="R402">
        <v>69.564999999999998</v>
      </c>
      <c r="S402">
        <v>30</v>
      </c>
      <c r="T402">
        <v>16.667000000000002</v>
      </c>
      <c r="U402">
        <v>7.1429999999999998</v>
      </c>
      <c r="V402">
        <f t="shared" si="18"/>
        <v>58.165000000000006</v>
      </c>
      <c r="W402">
        <f t="shared" si="19"/>
        <v>56.552749999999996</v>
      </c>
      <c r="X402">
        <f t="shared" si="20"/>
        <v>53.47175</v>
      </c>
      <c r="Y402">
        <v>13</v>
      </c>
      <c r="Z402" s="2" t="s">
        <v>369</v>
      </c>
    </row>
    <row r="403" spans="1:26" x14ac:dyDescent="0.25">
      <c r="A403">
        <v>376</v>
      </c>
      <c r="B403">
        <v>494</v>
      </c>
      <c r="C403" t="s">
        <v>22</v>
      </c>
      <c r="D403" t="s">
        <v>367</v>
      </c>
      <c r="E403" t="s">
        <v>30</v>
      </c>
      <c r="F403" t="s">
        <v>405</v>
      </c>
      <c r="G403" t="str">
        <f>VLOOKUP(F403,Hospitals!E:H,4,FALSE)</f>
        <v>30.69706 , 76.85734</v>
      </c>
      <c r="H403" s="1">
        <v>45377</v>
      </c>
      <c r="I403" t="s">
        <v>35</v>
      </c>
      <c r="J403">
        <v>99.363</v>
      </c>
      <c r="K403">
        <v>98.816999999999993</v>
      </c>
      <c r="L403">
        <v>98.864000000000004</v>
      </c>
      <c r="M403">
        <v>100</v>
      </c>
      <c r="N403">
        <v>95.652000000000001</v>
      </c>
      <c r="O403">
        <v>95.652000000000001</v>
      </c>
      <c r="P403">
        <v>100</v>
      </c>
      <c r="Q403">
        <v>95.652000000000001</v>
      </c>
      <c r="R403">
        <v>95.652000000000001</v>
      </c>
      <c r="S403">
        <v>20</v>
      </c>
      <c r="T403">
        <v>16.667000000000002</v>
      </c>
      <c r="U403">
        <v>7.1429999999999998</v>
      </c>
      <c r="V403">
        <f t="shared" si="18"/>
        <v>79.84075</v>
      </c>
      <c r="W403">
        <f t="shared" si="19"/>
        <v>76.697000000000003</v>
      </c>
      <c r="X403">
        <f t="shared" si="20"/>
        <v>74.327749999999995</v>
      </c>
      <c r="Y403">
        <v>13</v>
      </c>
      <c r="Z403" s="2" t="s">
        <v>369</v>
      </c>
    </row>
    <row r="404" spans="1:26" x14ac:dyDescent="0.25">
      <c r="A404">
        <v>447</v>
      </c>
      <c r="B404">
        <v>495</v>
      </c>
      <c r="C404" t="s">
        <v>22</v>
      </c>
      <c r="D404" t="s">
        <v>367</v>
      </c>
      <c r="E404" t="s">
        <v>30</v>
      </c>
      <c r="F404" t="s">
        <v>406</v>
      </c>
      <c r="G404" t="str">
        <f>VLOOKUP(F404,Hospitals!E:H,4,FALSE)</f>
        <v>29.04954 , 75.57425</v>
      </c>
      <c r="H404" s="1">
        <v>45373</v>
      </c>
      <c r="I404" t="s">
        <v>35</v>
      </c>
      <c r="J404">
        <v>0</v>
      </c>
      <c r="K404">
        <v>0</v>
      </c>
      <c r="L404">
        <v>0</v>
      </c>
      <c r="M404">
        <v>47.058999999999997</v>
      </c>
      <c r="N404">
        <v>34.783000000000001</v>
      </c>
      <c r="O404">
        <v>34.783000000000001</v>
      </c>
      <c r="P404">
        <v>47.058999999999997</v>
      </c>
      <c r="Q404">
        <v>34.783000000000001</v>
      </c>
      <c r="R404">
        <v>34.783000000000001</v>
      </c>
      <c r="S404">
        <v>0</v>
      </c>
      <c r="T404">
        <v>0</v>
      </c>
      <c r="U404">
        <v>0</v>
      </c>
      <c r="V404">
        <f t="shared" si="18"/>
        <v>23.529499999999999</v>
      </c>
      <c r="W404">
        <f t="shared" si="19"/>
        <v>17.391500000000001</v>
      </c>
      <c r="X404">
        <f t="shared" si="20"/>
        <v>17.391500000000001</v>
      </c>
      <c r="Y404">
        <v>13</v>
      </c>
      <c r="Z404" s="2" t="s">
        <v>369</v>
      </c>
    </row>
    <row r="405" spans="1:26" x14ac:dyDescent="0.25">
      <c r="A405">
        <v>343</v>
      </c>
      <c r="B405">
        <v>497</v>
      </c>
      <c r="C405" t="s">
        <v>22</v>
      </c>
      <c r="D405" t="s">
        <v>367</v>
      </c>
      <c r="E405" t="s">
        <v>30</v>
      </c>
      <c r="F405" t="s">
        <v>407</v>
      </c>
      <c r="G405" t="e">
        <f>VLOOKUP(F405,Hospitals!E:H,4,FALSE)</f>
        <v>#N/A</v>
      </c>
      <c r="H405" s="1">
        <v>45359</v>
      </c>
      <c r="I405" t="s">
        <v>35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f t="shared" si="18"/>
        <v>0</v>
      </c>
      <c r="W405">
        <f t="shared" si="19"/>
        <v>0</v>
      </c>
      <c r="X405">
        <f t="shared" si="20"/>
        <v>0</v>
      </c>
      <c r="Y405">
        <v>13</v>
      </c>
      <c r="Z405" s="2" t="s">
        <v>369</v>
      </c>
    </row>
    <row r="406" spans="1:26" x14ac:dyDescent="0.25">
      <c r="A406">
        <v>371</v>
      </c>
      <c r="B406">
        <v>498</v>
      </c>
      <c r="C406" t="s">
        <v>22</v>
      </c>
      <c r="D406" t="s">
        <v>367</v>
      </c>
      <c r="E406" t="s">
        <v>30</v>
      </c>
      <c r="F406" t="s">
        <v>408</v>
      </c>
      <c r="G406" t="str">
        <f>VLOOKUP(F406,Hospitals!E:H,4,FALSE)</f>
        <v>29.31916 , 76.99052</v>
      </c>
      <c r="H406" s="1">
        <v>45364</v>
      </c>
      <c r="I406" t="s">
        <v>35</v>
      </c>
      <c r="J406">
        <v>0</v>
      </c>
      <c r="K406">
        <v>0</v>
      </c>
      <c r="L406">
        <v>0</v>
      </c>
      <c r="M406">
        <v>100</v>
      </c>
      <c r="N406">
        <v>100</v>
      </c>
      <c r="O406">
        <v>100</v>
      </c>
      <c r="P406">
        <v>100</v>
      </c>
      <c r="Q406">
        <v>100</v>
      </c>
      <c r="R406">
        <v>100</v>
      </c>
      <c r="S406">
        <v>0</v>
      </c>
      <c r="T406">
        <v>0</v>
      </c>
      <c r="U406">
        <v>0</v>
      </c>
      <c r="V406">
        <f t="shared" si="18"/>
        <v>50</v>
      </c>
      <c r="W406">
        <f t="shared" si="19"/>
        <v>50</v>
      </c>
      <c r="X406">
        <f t="shared" si="20"/>
        <v>50</v>
      </c>
      <c r="Y406">
        <v>13</v>
      </c>
      <c r="Z406" s="2" t="s">
        <v>369</v>
      </c>
    </row>
    <row r="407" spans="1:26" x14ac:dyDescent="0.25">
      <c r="A407">
        <v>390</v>
      </c>
      <c r="B407">
        <v>499</v>
      </c>
      <c r="C407" t="s">
        <v>22</v>
      </c>
      <c r="D407" t="s">
        <v>367</v>
      </c>
      <c r="E407" t="s">
        <v>30</v>
      </c>
      <c r="F407" t="s">
        <v>409</v>
      </c>
      <c r="G407" t="str">
        <f>VLOOKUP(F407,Hospitals!E:H,4,FALSE)</f>
        <v>30.70398 , 76.90092</v>
      </c>
      <c r="H407" s="1">
        <v>45365</v>
      </c>
      <c r="I407" t="s">
        <v>35</v>
      </c>
      <c r="J407">
        <v>40.127000000000002</v>
      </c>
      <c r="K407">
        <v>42.012</v>
      </c>
      <c r="L407">
        <v>42.045000000000002</v>
      </c>
      <c r="M407">
        <v>52.941000000000003</v>
      </c>
      <c r="N407">
        <v>56.521999999999998</v>
      </c>
      <c r="O407">
        <v>56.521999999999998</v>
      </c>
      <c r="P407">
        <v>52.941000000000003</v>
      </c>
      <c r="Q407">
        <v>56.521999999999998</v>
      </c>
      <c r="R407">
        <v>56.521999999999998</v>
      </c>
      <c r="S407">
        <v>10</v>
      </c>
      <c r="T407">
        <v>8.3330000000000002</v>
      </c>
      <c r="U407">
        <v>14.286</v>
      </c>
      <c r="V407">
        <f t="shared" si="18"/>
        <v>39.002250000000004</v>
      </c>
      <c r="W407">
        <f t="shared" si="19"/>
        <v>40.847249999999995</v>
      </c>
      <c r="X407">
        <f t="shared" si="20"/>
        <v>42.34375</v>
      </c>
      <c r="Y407">
        <v>13</v>
      </c>
      <c r="Z407" s="2" t="s">
        <v>369</v>
      </c>
    </row>
    <row r="408" spans="1:26" x14ac:dyDescent="0.25">
      <c r="A408">
        <v>747</v>
      </c>
      <c r="B408">
        <v>5</v>
      </c>
      <c r="C408" t="s">
        <v>22</v>
      </c>
      <c r="D408" t="s">
        <v>23</v>
      </c>
      <c r="E408" t="s">
        <v>24</v>
      </c>
      <c r="F408" t="s">
        <v>410</v>
      </c>
      <c r="G408" t="str">
        <f>VLOOKUP(F408,Hospitals!E:H,4,FALSE)</f>
        <v>30.28297 , 76.71056</v>
      </c>
      <c r="H408" s="1">
        <v>45429</v>
      </c>
      <c r="I408" s="1">
        <v>45429</v>
      </c>
      <c r="J408">
        <v>27.388999999999999</v>
      </c>
      <c r="K408">
        <v>25.443999999999999</v>
      </c>
      <c r="L408">
        <v>24.431999999999999</v>
      </c>
      <c r="M408">
        <v>17.646999999999998</v>
      </c>
      <c r="N408">
        <v>13.042999999999999</v>
      </c>
      <c r="O408">
        <v>13.042999999999999</v>
      </c>
      <c r="P408">
        <v>17.646999999999998</v>
      </c>
      <c r="Q408">
        <v>13.042999999999999</v>
      </c>
      <c r="R408">
        <v>13.042999999999999</v>
      </c>
      <c r="S408">
        <v>0</v>
      </c>
      <c r="T408">
        <v>0</v>
      </c>
      <c r="U408">
        <v>0</v>
      </c>
      <c r="V408">
        <f t="shared" si="18"/>
        <v>15.67075</v>
      </c>
      <c r="W408">
        <f t="shared" si="19"/>
        <v>12.882499999999999</v>
      </c>
      <c r="X408">
        <f t="shared" si="20"/>
        <v>12.629499999999998</v>
      </c>
      <c r="Y408">
        <v>13</v>
      </c>
      <c r="Z408" s="2" t="s">
        <v>26</v>
      </c>
    </row>
    <row r="409" spans="1:26" x14ac:dyDescent="0.25">
      <c r="A409">
        <v>882</v>
      </c>
      <c r="B409">
        <v>50</v>
      </c>
      <c r="C409" t="s">
        <v>22</v>
      </c>
      <c r="D409" t="s">
        <v>328</v>
      </c>
      <c r="E409" t="s">
        <v>30</v>
      </c>
      <c r="F409" t="s">
        <v>411</v>
      </c>
      <c r="G409" t="str">
        <f>VLOOKUP(F409,Hospitals!E:H,4,FALSE)</f>
        <v>28.79568 , 76.15722</v>
      </c>
      <c r="H409" s="1">
        <v>45477</v>
      </c>
      <c r="I409" s="1">
        <v>45477</v>
      </c>
      <c r="J409">
        <v>71.337999999999994</v>
      </c>
      <c r="K409">
        <v>70.414000000000001</v>
      </c>
      <c r="L409">
        <v>67.614000000000004</v>
      </c>
      <c r="M409">
        <v>47.058999999999997</v>
      </c>
      <c r="N409">
        <v>52.173999999999999</v>
      </c>
      <c r="O409">
        <v>52.173999999999999</v>
      </c>
      <c r="P409">
        <v>47.058999999999997</v>
      </c>
      <c r="Q409">
        <v>52.173999999999999</v>
      </c>
      <c r="R409">
        <v>52.173999999999999</v>
      </c>
      <c r="S409">
        <v>10</v>
      </c>
      <c r="T409">
        <v>8.3330000000000002</v>
      </c>
      <c r="U409">
        <v>0</v>
      </c>
      <c r="V409">
        <f t="shared" si="18"/>
        <v>43.863999999999997</v>
      </c>
      <c r="W409">
        <f t="shared" si="19"/>
        <v>45.77375</v>
      </c>
      <c r="X409">
        <f t="shared" si="20"/>
        <v>42.990500000000004</v>
      </c>
      <c r="Y409">
        <v>13</v>
      </c>
      <c r="Z409" s="2" t="s">
        <v>330</v>
      </c>
    </row>
    <row r="410" spans="1:26" x14ac:dyDescent="0.25">
      <c r="A410">
        <v>872</v>
      </c>
      <c r="B410">
        <v>50</v>
      </c>
      <c r="C410" t="s">
        <v>22</v>
      </c>
      <c r="D410" t="s">
        <v>328</v>
      </c>
      <c r="E410" t="s">
        <v>30</v>
      </c>
      <c r="F410" t="s">
        <v>411</v>
      </c>
      <c r="G410" t="str">
        <f>VLOOKUP(F410,Hospitals!E:H,4,FALSE)</f>
        <v>28.79568 , 76.15722</v>
      </c>
      <c r="H410" s="1">
        <v>45477</v>
      </c>
      <c r="I410" s="1">
        <v>45477</v>
      </c>
      <c r="J410">
        <v>71.337999999999994</v>
      </c>
      <c r="K410">
        <v>70.414000000000001</v>
      </c>
      <c r="L410">
        <v>67.614000000000004</v>
      </c>
      <c r="M410">
        <v>47.058999999999997</v>
      </c>
      <c r="N410">
        <v>52.173999999999999</v>
      </c>
      <c r="O410">
        <v>52.173999999999999</v>
      </c>
      <c r="P410">
        <v>47.058999999999997</v>
      </c>
      <c r="Q410">
        <v>52.173999999999999</v>
      </c>
      <c r="R410">
        <v>52.173999999999999</v>
      </c>
      <c r="S410">
        <v>10</v>
      </c>
      <c r="T410">
        <v>8.3330000000000002</v>
      </c>
      <c r="U410">
        <v>0</v>
      </c>
      <c r="V410">
        <f t="shared" si="18"/>
        <v>43.863999999999997</v>
      </c>
      <c r="W410">
        <f t="shared" si="19"/>
        <v>45.77375</v>
      </c>
      <c r="X410">
        <f t="shared" si="20"/>
        <v>42.990500000000004</v>
      </c>
      <c r="Y410">
        <v>13</v>
      </c>
      <c r="Z410" s="2" t="s">
        <v>330</v>
      </c>
    </row>
    <row r="411" spans="1:26" x14ac:dyDescent="0.25">
      <c r="A411">
        <v>340</v>
      </c>
      <c r="B411">
        <v>500</v>
      </c>
      <c r="C411" t="s">
        <v>22</v>
      </c>
      <c r="D411" t="s">
        <v>367</v>
      </c>
      <c r="E411" t="s">
        <v>30</v>
      </c>
      <c r="F411" t="s">
        <v>412</v>
      </c>
      <c r="G411" t="str">
        <f>VLOOKUP(F411,Hospitals!E:H,4,FALSE)</f>
        <v>29.41072 , 77.07947</v>
      </c>
      <c r="H411" s="1">
        <v>45538</v>
      </c>
      <c r="I411" t="s">
        <v>35</v>
      </c>
      <c r="J411">
        <v>98.725999999999999</v>
      </c>
      <c r="K411">
        <v>97.632999999999996</v>
      </c>
      <c r="L411">
        <v>97.159000000000006</v>
      </c>
      <c r="M411">
        <v>94.117999999999995</v>
      </c>
      <c r="N411">
        <v>91.304000000000002</v>
      </c>
      <c r="O411">
        <v>91.304000000000002</v>
      </c>
      <c r="P411">
        <v>94.117999999999995</v>
      </c>
      <c r="Q411">
        <v>91.304000000000002</v>
      </c>
      <c r="R411">
        <v>91.304000000000002</v>
      </c>
      <c r="S411">
        <v>30</v>
      </c>
      <c r="T411">
        <v>33.332999999999998</v>
      </c>
      <c r="U411">
        <v>14.286</v>
      </c>
      <c r="V411">
        <f t="shared" si="18"/>
        <v>79.240499999999997</v>
      </c>
      <c r="W411">
        <f t="shared" si="19"/>
        <v>78.393499999999989</v>
      </c>
      <c r="X411">
        <f t="shared" si="20"/>
        <v>73.513250000000014</v>
      </c>
      <c r="Y411">
        <v>13</v>
      </c>
      <c r="Z411" s="2" t="s">
        <v>369</v>
      </c>
    </row>
    <row r="412" spans="1:26" x14ac:dyDescent="0.25">
      <c r="A412">
        <v>389</v>
      </c>
      <c r="B412">
        <v>501</v>
      </c>
      <c r="C412" t="s">
        <v>22</v>
      </c>
      <c r="D412" t="s">
        <v>367</v>
      </c>
      <c r="E412" t="s">
        <v>30</v>
      </c>
      <c r="F412" t="s">
        <v>413</v>
      </c>
      <c r="G412" t="str">
        <f>VLOOKUP(F412,Hospitals!E:H,4,FALSE)</f>
        <v>29.3797 , 76.96783</v>
      </c>
      <c r="H412" s="1">
        <v>45366</v>
      </c>
      <c r="I412" s="1">
        <v>45366</v>
      </c>
      <c r="J412">
        <v>75.796000000000006</v>
      </c>
      <c r="K412">
        <v>71.597999999999999</v>
      </c>
      <c r="L412">
        <v>68.75</v>
      </c>
      <c r="M412">
        <v>17.646999999999998</v>
      </c>
      <c r="N412">
        <v>21.739000000000001</v>
      </c>
      <c r="O412">
        <v>21.739000000000001</v>
      </c>
      <c r="P412">
        <v>17.646999999999998</v>
      </c>
      <c r="Q412">
        <v>21.739000000000001</v>
      </c>
      <c r="R412">
        <v>21.739000000000001</v>
      </c>
      <c r="S412">
        <v>0</v>
      </c>
      <c r="T412">
        <v>0</v>
      </c>
      <c r="U412">
        <v>0</v>
      </c>
      <c r="V412">
        <f t="shared" si="18"/>
        <v>27.772500000000001</v>
      </c>
      <c r="W412">
        <f t="shared" si="19"/>
        <v>28.769000000000002</v>
      </c>
      <c r="X412">
        <f t="shared" si="20"/>
        <v>28.057000000000002</v>
      </c>
      <c r="Y412">
        <v>13</v>
      </c>
      <c r="Z412" s="2" t="s">
        <v>369</v>
      </c>
    </row>
    <row r="413" spans="1:26" x14ac:dyDescent="0.25">
      <c r="A413">
        <v>622</v>
      </c>
      <c r="B413">
        <v>502</v>
      </c>
      <c r="C413" t="s">
        <v>22</v>
      </c>
      <c r="D413" t="s">
        <v>367</v>
      </c>
      <c r="E413" t="s">
        <v>30</v>
      </c>
      <c r="F413" t="s">
        <v>414</v>
      </c>
      <c r="G413" t="str">
        <f>VLOOKUP(F413,Hospitals!E:H,4,FALSE)</f>
        <v>29.28868 , 76.88361</v>
      </c>
      <c r="H413" s="1">
        <v>45496</v>
      </c>
      <c r="I413" s="1">
        <v>45496</v>
      </c>
      <c r="J413">
        <v>89.171999999999997</v>
      </c>
      <c r="K413">
        <v>86.981999999999999</v>
      </c>
      <c r="L413">
        <v>85.795000000000002</v>
      </c>
      <c r="M413">
        <v>100</v>
      </c>
      <c r="N413">
        <v>100</v>
      </c>
      <c r="O413">
        <v>100</v>
      </c>
      <c r="P413">
        <v>100</v>
      </c>
      <c r="Q413">
        <v>100</v>
      </c>
      <c r="R413">
        <v>100</v>
      </c>
      <c r="S413">
        <v>60</v>
      </c>
      <c r="T413">
        <v>66.667000000000002</v>
      </c>
      <c r="U413">
        <v>57.143000000000001</v>
      </c>
      <c r="V413">
        <f t="shared" si="18"/>
        <v>87.293000000000006</v>
      </c>
      <c r="W413">
        <f t="shared" si="19"/>
        <v>88.41225</v>
      </c>
      <c r="X413">
        <f t="shared" si="20"/>
        <v>85.734499999999997</v>
      </c>
      <c r="Y413">
        <v>13</v>
      </c>
      <c r="Z413" s="2" t="s">
        <v>369</v>
      </c>
    </row>
    <row r="414" spans="1:26" x14ac:dyDescent="0.25">
      <c r="A414">
        <v>940</v>
      </c>
      <c r="B414">
        <v>502</v>
      </c>
      <c r="C414" t="s">
        <v>22</v>
      </c>
      <c r="D414" t="s">
        <v>367</v>
      </c>
      <c r="E414" t="s">
        <v>30</v>
      </c>
      <c r="F414" t="s">
        <v>414</v>
      </c>
      <c r="G414" t="str">
        <f>VLOOKUP(F414,Hospitals!E:H,4,FALSE)</f>
        <v>29.28868 , 76.88361</v>
      </c>
      <c r="H414" s="1">
        <v>45503</v>
      </c>
      <c r="I414" s="1">
        <v>45503</v>
      </c>
      <c r="J414">
        <v>89.171999999999997</v>
      </c>
      <c r="K414">
        <v>86.981999999999999</v>
      </c>
      <c r="L414">
        <v>85.795000000000002</v>
      </c>
      <c r="M414">
        <v>100</v>
      </c>
      <c r="N414">
        <v>100</v>
      </c>
      <c r="O414">
        <v>100</v>
      </c>
      <c r="P414">
        <v>100</v>
      </c>
      <c r="Q414">
        <v>100</v>
      </c>
      <c r="R414">
        <v>100</v>
      </c>
      <c r="S414">
        <v>60</v>
      </c>
      <c r="T414">
        <v>66.667000000000002</v>
      </c>
      <c r="U414">
        <v>57.143000000000001</v>
      </c>
      <c r="V414">
        <f t="shared" si="18"/>
        <v>87.293000000000006</v>
      </c>
      <c r="W414">
        <f t="shared" si="19"/>
        <v>88.41225</v>
      </c>
      <c r="X414">
        <f t="shared" si="20"/>
        <v>85.734499999999997</v>
      </c>
      <c r="Y414">
        <v>13</v>
      </c>
      <c r="Z414" s="2" t="s">
        <v>369</v>
      </c>
    </row>
    <row r="415" spans="1:26" x14ac:dyDescent="0.25">
      <c r="A415">
        <v>286</v>
      </c>
      <c r="B415">
        <v>503</v>
      </c>
      <c r="C415" t="s">
        <v>22</v>
      </c>
      <c r="D415" t="s">
        <v>367</v>
      </c>
      <c r="E415" t="s">
        <v>30</v>
      </c>
      <c r="F415" t="s">
        <v>415</v>
      </c>
      <c r="G415" t="str">
        <f>VLOOKUP(F415,Hospitals!E:H,4,FALSE)</f>
        <v>29.39652 , 76.97131</v>
      </c>
      <c r="H415" s="1">
        <v>45356</v>
      </c>
      <c r="I415" s="1">
        <v>45356</v>
      </c>
      <c r="J415">
        <v>24.204000000000001</v>
      </c>
      <c r="K415">
        <v>23.077000000000002</v>
      </c>
      <c r="L415">
        <v>22.158999999999999</v>
      </c>
      <c r="M415">
        <v>11.765000000000001</v>
      </c>
      <c r="N415">
        <v>8.6959999999999997</v>
      </c>
      <c r="O415">
        <v>8.6959999999999997</v>
      </c>
      <c r="P415">
        <v>11.765000000000001</v>
      </c>
      <c r="Q415">
        <v>8.6959999999999997</v>
      </c>
      <c r="R415">
        <v>8.6959999999999997</v>
      </c>
      <c r="S415">
        <v>0</v>
      </c>
      <c r="T415">
        <v>0</v>
      </c>
      <c r="U415">
        <v>0</v>
      </c>
      <c r="V415">
        <f t="shared" si="18"/>
        <v>11.9335</v>
      </c>
      <c r="W415">
        <f t="shared" si="19"/>
        <v>10.11725</v>
      </c>
      <c r="X415">
        <f t="shared" si="20"/>
        <v>9.8877499999999987</v>
      </c>
      <c r="Y415">
        <v>13</v>
      </c>
      <c r="Z415" s="2" t="s">
        <v>369</v>
      </c>
    </row>
    <row r="416" spans="1:26" x14ac:dyDescent="0.25">
      <c r="A416">
        <v>444</v>
      </c>
      <c r="B416">
        <v>503</v>
      </c>
      <c r="C416" t="s">
        <v>22</v>
      </c>
      <c r="D416" t="s">
        <v>367</v>
      </c>
      <c r="E416" t="s">
        <v>30</v>
      </c>
      <c r="F416" t="s">
        <v>415</v>
      </c>
      <c r="G416" t="str">
        <f>VLOOKUP(F416,Hospitals!E:H,4,FALSE)</f>
        <v>29.39652 , 76.97131</v>
      </c>
      <c r="H416" s="1">
        <v>45373</v>
      </c>
      <c r="I416" s="1">
        <v>45373</v>
      </c>
      <c r="J416">
        <v>24.204000000000001</v>
      </c>
      <c r="K416">
        <v>23.077000000000002</v>
      </c>
      <c r="L416">
        <v>22.158999999999999</v>
      </c>
      <c r="M416">
        <v>11.765000000000001</v>
      </c>
      <c r="N416">
        <v>8.6959999999999997</v>
      </c>
      <c r="O416">
        <v>8.6959999999999997</v>
      </c>
      <c r="P416">
        <v>11.765000000000001</v>
      </c>
      <c r="Q416">
        <v>8.6959999999999997</v>
      </c>
      <c r="R416">
        <v>8.6959999999999997</v>
      </c>
      <c r="S416">
        <v>0</v>
      </c>
      <c r="T416">
        <v>0</v>
      </c>
      <c r="U416">
        <v>0</v>
      </c>
      <c r="V416">
        <f t="shared" si="18"/>
        <v>11.9335</v>
      </c>
      <c r="W416">
        <f t="shared" si="19"/>
        <v>10.11725</v>
      </c>
      <c r="X416">
        <f t="shared" si="20"/>
        <v>9.8877499999999987</v>
      </c>
      <c r="Y416">
        <v>13</v>
      </c>
      <c r="Z416" s="2" t="s">
        <v>369</v>
      </c>
    </row>
    <row r="417" spans="1:26" x14ac:dyDescent="0.25">
      <c r="A417">
        <v>1008</v>
      </c>
      <c r="B417">
        <v>504</v>
      </c>
      <c r="C417" t="s">
        <v>22</v>
      </c>
      <c r="D417" t="s">
        <v>367</v>
      </c>
      <c r="E417" t="s">
        <v>30</v>
      </c>
      <c r="F417" t="s">
        <v>416</v>
      </c>
      <c r="G417" t="e">
        <f>VLOOKUP(F417,Hospitals!E:H,4,FALSE)</f>
        <v>#N/A</v>
      </c>
      <c r="H417" s="1">
        <v>45538</v>
      </c>
      <c r="I417" t="s">
        <v>35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f t="shared" si="18"/>
        <v>0</v>
      </c>
      <c r="W417">
        <f t="shared" si="19"/>
        <v>0</v>
      </c>
      <c r="X417">
        <f t="shared" si="20"/>
        <v>0</v>
      </c>
      <c r="Y417">
        <v>13</v>
      </c>
      <c r="Z417" s="2" t="s">
        <v>369</v>
      </c>
    </row>
    <row r="418" spans="1:26" x14ac:dyDescent="0.25">
      <c r="A418">
        <v>1011</v>
      </c>
      <c r="B418">
        <v>505</v>
      </c>
      <c r="C418" t="s">
        <v>22</v>
      </c>
      <c r="D418" t="s">
        <v>367</v>
      </c>
      <c r="E418" t="s">
        <v>30</v>
      </c>
      <c r="F418" t="s">
        <v>417</v>
      </c>
      <c r="G418" t="str">
        <f>VLOOKUP(F418,Hospitals!E:H,4,FALSE)</f>
        <v>29.40928 , 76.97531</v>
      </c>
      <c r="H418" s="1">
        <v>45538</v>
      </c>
      <c r="I418" t="s">
        <v>35</v>
      </c>
      <c r="J418">
        <v>0</v>
      </c>
      <c r="K418">
        <v>0</v>
      </c>
      <c r="L418">
        <v>0</v>
      </c>
      <c r="M418">
        <v>58.823999999999998</v>
      </c>
      <c r="N418">
        <v>56.521999999999998</v>
      </c>
      <c r="O418">
        <v>56.521999999999998</v>
      </c>
      <c r="P418">
        <v>58.823999999999998</v>
      </c>
      <c r="Q418">
        <v>56.521999999999998</v>
      </c>
      <c r="R418">
        <v>56.521999999999998</v>
      </c>
      <c r="S418">
        <v>0</v>
      </c>
      <c r="T418">
        <v>0</v>
      </c>
      <c r="U418">
        <v>0</v>
      </c>
      <c r="V418">
        <f t="shared" si="18"/>
        <v>29.411999999999999</v>
      </c>
      <c r="W418">
        <f t="shared" si="19"/>
        <v>28.260999999999999</v>
      </c>
      <c r="X418">
        <f t="shared" si="20"/>
        <v>28.260999999999999</v>
      </c>
      <c r="Y418">
        <v>13</v>
      </c>
      <c r="Z418" s="2" t="s">
        <v>369</v>
      </c>
    </row>
    <row r="419" spans="1:26" x14ac:dyDescent="0.25">
      <c r="A419">
        <v>457</v>
      </c>
      <c r="B419">
        <v>506</v>
      </c>
      <c r="C419" t="s">
        <v>22</v>
      </c>
      <c r="D419" t="s">
        <v>367</v>
      </c>
      <c r="E419" t="s">
        <v>30</v>
      </c>
      <c r="F419" t="s">
        <v>418</v>
      </c>
      <c r="G419" t="str">
        <f>VLOOKUP(F419,Hospitals!E:H,4,FALSE)</f>
        <v>29.39074 , 76.95528</v>
      </c>
      <c r="H419" s="1">
        <v>45488</v>
      </c>
      <c r="I419" t="s">
        <v>35</v>
      </c>
      <c r="J419">
        <v>0</v>
      </c>
      <c r="K419">
        <v>0</v>
      </c>
      <c r="L419">
        <v>0</v>
      </c>
      <c r="M419">
        <v>64.706000000000003</v>
      </c>
      <c r="N419">
        <v>60.87</v>
      </c>
      <c r="O419">
        <v>60.87</v>
      </c>
      <c r="P419">
        <v>64.706000000000003</v>
      </c>
      <c r="Q419">
        <v>60.87</v>
      </c>
      <c r="R419">
        <v>60.87</v>
      </c>
      <c r="S419">
        <v>0</v>
      </c>
      <c r="T419">
        <v>0</v>
      </c>
      <c r="U419">
        <v>7.1429999999999998</v>
      </c>
      <c r="V419">
        <f t="shared" si="18"/>
        <v>32.353000000000002</v>
      </c>
      <c r="W419">
        <f t="shared" si="19"/>
        <v>30.434999999999999</v>
      </c>
      <c r="X419">
        <f t="shared" si="20"/>
        <v>32.220749999999995</v>
      </c>
      <c r="Y419">
        <v>13</v>
      </c>
      <c r="Z419" s="2" t="s">
        <v>369</v>
      </c>
    </row>
    <row r="420" spans="1:26" x14ac:dyDescent="0.25">
      <c r="A420">
        <v>338</v>
      </c>
      <c r="B420">
        <v>507</v>
      </c>
      <c r="C420" t="s">
        <v>22</v>
      </c>
      <c r="D420" t="s">
        <v>367</v>
      </c>
      <c r="E420" t="s">
        <v>30</v>
      </c>
      <c r="F420" t="s">
        <v>419</v>
      </c>
      <c r="G420" t="e">
        <f>VLOOKUP(F420,Hospitals!E:H,4,FALSE)</f>
        <v>#N/A</v>
      </c>
      <c r="H420" s="1">
        <v>45359</v>
      </c>
      <c r="I420" t="s">
        <v>35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f t="shared" si="18"/>
        <v>0</v>
      </c>
      <c r="W420">
        <f t="shared" si="19"/>
        <v>0</v>
      </c>
      <c r="X420">
        <f t="shared" si="20"/>
        <v>0</v>
      </c>
      <c r="Y420">
        <v>13</v>
      </c>
      <c r="Z420" s="2" t="s">
        <v>369</v>
      </c>
    </row>
    <row r="421" spans="1:26" x14ac:dyDescent="0.25">
      <c r="A421">
        <v>337</v>
      </c>
      <c r="B421">
        <v>508</v>
      </c>
      <c r="C421" t="s">
        <v>22</v>
      </c>
      <c r="D421" t="s">
        <v>367</v>
      </c>
      <c r="E421" t="s">
        <v>30</v>
      </c>
      <c r="F421" t="s">
        <v>420</v>
      </c>
      <c r="G421" t="str">
        <f>VLOOKUP(F421,Hospitals!E:H,4,FALSE)</f>
        <v>29.77552 , 76.41003</v>
      </c>
      <c r="H421" s="1">
        <v>45364</v>
      </c>
      <c r="I421" s="1">
        <v>45364</v>
      </c>
      <c r="J421">
        <v>80.891999999999996</v>
      </c>
      <c r="K421">
        <v>80.472999999999999</v>
      </c>
      <c r="L421">
        <v>78.977000000000004</v>
      </c>
      <c r="M421">
        <v>100</v>
      </c>
      <c r="N421">
        <v>100</v>
      </c>
      <c r="O421">
        <v>100</v>
      </c>
      <c r="P421">
        <v>100</v>
      </c>
      <c r="Q421">
        <v>100</v>
      </c>
      <c r="R421">
        <v>100</v>
      </c>
      <c r="S421">
        <v>80</v>
      </c>
      <c r="T421">
        <v>58.332999999999998</v>
      </c>
      <c r="U421">
        <v>35.713999999999999</v>
      </c>
      <c r="V421">
        <f t="shared" si="18"/>
        <v>90.222999999999999</v>
      </c>
      <c r="W421">
        <f t="shared" si="19"/>
        <v>84.70150000000001</v>
      </c>
      <c r="X421">
        <f t="shared" si="20"/>
        <v>78.672749999999994</v>
      </c>
      <c r="Y421">
        <v>13</v>
      </c>
      <c r="Z421" s="2" t="s">
        <v>369</v>
      </c>
    </row>
    <row r="422" spans="1:26" x14ac:dyDescent="0.25">
      <c r="A422">
        <v>366</v>
      </c>
      <c r="B422">
        <v>509</v>
      </c>
      <c r="C422" t="s">
        <v>22</v>
      </c>
      <c r="D422" t="s">
        <v>367</v>
      </c>
      <c r="E422" t="s">
        <v>30</v>
      </c>
      <c r="F422" t="s">
        <v>421</v>
      </c>
      <c r="G422" t="e">
        <f>VLOOKUP(F422,Hospitals!E:H,4,FALSE)</f>
        <v>#N/A</v>
      </c>
      <c r="H422" s="1">
        <v>45364</v>
      </c>
      <c r="I422" t="s">
        <v>35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f t="shared" si="18"/>
        <v>0</v>
      </c>
      <c r="W422">
        <f t="shared" si="19"/>
        <v>0</v>
      </c>
      <c r="X422">
        <f t="shared" si="20"/>
        <v>0</v>
      </c>
      <c r="Y422">
        <v>13</v>
      </c>
      <c r="Z422" s="2" t="s">
        <v>369</v>
      </c>
    </row>
    <row r="423" spans="1:26" x14ac:dyDescent="0.25">
      <c r="A423">
        <v>859</v>
      </c>
      <c r="B423">
        <v>51</v>
      </c>
      <c r="C423" t="s">
        <v>22</v>
      </c>
      <c r="D423" t="s">
        <v>328</v>
      </c>
      <c r="E423" t="s">
        <v>30</v>
      </c>
      <c r="F423" t="s">
        <v>422</v>
      </c>
      <c r="G423" t="str">
        <f>VLOOKUP(F423,Hospitals!E:H,4,FALSE)</f>
        <v>28.79226 , 76.13039</v>
      </c>
      <c r="H423" s="1">
        <v>45486</v>
      </c>
      <c r="I423" s="1">
        <v>45486</v>
      </c>
      <c r="J423">
        <v>73.885000000000005</v>
      </c>
      <c r="K423">
        <v>72.188999999999993</v>
      </c>
      <c r="L423">
        <v>69.885999999999996</v>
      </c>
      <c r="M423">
        <v>47.058999999999997</v>
      </c>
      <c r="N423">
        <v>56.521999999999998</v>
      </c>
      <c r="O423">
        <v>56.521999999999998</v>
      </c>
      <c r="P423">
        <v>47.058999999999997</v>
      </c>
      <c r="Q423">
        <v>56.521999999999998</v>
      </c>
      <c r="R423">
        <v>56.521999999999998</v>
      </c>
      <c r="S423">
        <v>10</v>
      </c>
      <c r="T423">
        <v>16.667000000000002</v>
      </c>
      <c r="U423">
        <v>0</v>
      </c>
      <c r="V423">
        <f t="shared" si="18"/>
        <v>44.500749999999996</v>
      </c>
      <c r="W423">
        <f t="shared" si="19"/>
        <v>50.474999999999994</v>
      </c>
      <c r="X423">
        <f t="shared" si="20"/>
        <v>45.732499999999995</v>
      </c>
      <c r="Y423">
        <v>13</v>
      </c>
      <c r="Z423" s="2" t="s">
        <v>330</v>
      </c>
    </row>
    <row r="424" spans="1:26" x14ac:dyDescent="0.25">
      <c r="A424">
        <v>1012</v>
      </c>
      <c r="B424">
        <v>510</v>
      </c>
      <c r="C424" t="s">
        <v>22</v>
      </c>
      <c r="D424" t="s">
        <v>367</v>
      </c>
      <c r="E424" t="s">
        <v>30</v>
      </c>
      <c r="F424" t="s">
        <v>423</v>
      </c>
      <c r="G424" t="e">
        <f>VLOOKUP(F424,Hospitals!E:H,4,FALSE)</f>
        <v>#N/A</v>
      </c>
      <c r="H424" s="1">
        <v>45538</v>
      </c>
      <c r="I424" t="s">
        <v>35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f t="shared" si="18"/>
        <v>0</v>
      </c>
      <c r="W424">
        <f t="shared" si="19"/>
        <v>0</v>
      </c>
      <c r="X424">
        <f t="shared" si="20"/>
        <v>0</v>
      </c>
      <c r="Y424">
        <v>13</v>
      </c>
      <c r="Z424" s="2" t="s">
        <v>369</v>
      </c>
    </row>
    <row r="425" spans="1:26" x14ac:dyDescent="0.25">
      <c r="A425">
        <v>327</v>
      </c>
      <c r="B425">
        <v>511</v>
      </c>
      <c r="C425" t="s">
        <v>22</v>
      </c>
      <c r="D425" t="s">
        <v>367</v>
      </c>
      <c r="E425" t="s">
        <v>30</v>
      </c>
      <c r="F425" t="s">
        <v>424</v>
      </c>
      <c r="G425" t="str">
        <f>VLOOKUP(F425,Hospitals!E:H,4,FALSE)</f>
        <v>30.71345 , 76.85734</v>
      </c>
      <c r="H425" s="1">
        <v>45357</v>
      </c>
      <c r="I425" s="1">
        <v>45357</v>
      </c>
      <c r="J425">
        <v>70.700999999999993</v>
      </c>
      <c r="K425">
        <v>68.638999999999996</v>
      </c>
      <c r="L425">
        <v>67.045000000000002</v>
      </c>
      <c r="M425">
        <v>52.941000000000003</v>
      </c>
      <c r="N425">
        <v>47.826000000000001</v>
      </c>
      <c r="O425">
        <v>47.826000000000001</v>
      </c>
      <c r="P425">
        <v>52.941000000000003</v>
      </c>
      <c r="Q425">
        <v>47.826000000000001</v>
      </c>
      <c r="R425">
        <v>47.826000000000001</v>
      </c>
      <c r="S425">
        <v>10</v>
      </c>
      <c r="T425">
        <v>0</v>
      </c>
      <c r="U425">
        <v>0</v>
      </c>
      <c r="V425">
        <f t="shared" si="18"/>
        <v>46.64575</v>
      </c>
      <c r="W425">
        <f t="shared" si="19"/>
        <v>41.072749999999999</v>
      </c>
      <c r="X425">
        <f t="shared" si="20"/>
        <v>40.674250000000001</v>
      </c>
      <c r="Y425">
        <v>13</v>
      </c>
      <c r="Z425" s="2" t="s">
        <v>369</v>
      </c>
    </row>
    <row r="426" spans="1:26" x14ac:dyDescent="0.25">
      <c r="A426">
        <v>336</v>
      </c>
      <c r="B426">
        <v>512</v>
      </c>
      <c r="C426" t="s">
        <v>22</v>
      </c>
      <c r="D426" t="s">
        <v>367</v>
      </c>
      <c r="E426" t="s">
        <v>30</v>
      </c>
      <c r="F426" t="s">
        <v>425</v>
      </c>
      <c r="G426" t="str">
        <f>VLOOKUP(F426,Hospitals!E:H,4,FALSE)</f>
        <v>28.99051 , 76.98735</v>
      </c>
      <c r="H426" s="1">
        <v>45359</v>
      </c>
      <c r="I426" t="s">
        <v>35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  <c r="P426">
        <v>100</v>
      </c>
      <c r="Q426">
        <v>100</v>
      </c>
      <c r="R426">
        <v>100</v>
      </c>
      <c r="S426">
        <v>30</v>
      </c>
      <c r="T426">
        <v>33.332999999999998</v>
      </c>
      <c r="U426">
        <v>21.428999999999998</v>
      </c>
      <c r="V426">
        <f t="shared" si="18"/>
        <v>82.5</v>
      </c>
      <c r="W426">
        <f t="shared" si="19"/>
        <v>83.333249999999992</v>
      </c>
      <c r="X426">
        <f t="shared" si="20"/>
        <v>80.357249999999993</v>
      </c>
      <c r="Y426">
        <v>13</v>
      </c>
      <c r="Z426" s="2" t="s">
        <v>369</v>
      </c>
    </row>
    <row r="427" spans="1:26" x14ac:dyDescent="0.25">
      <c r="A427">
        <v>370</v>
      </c>
      <c r="B427">
        <v>514</v>
      </c>
      <c r="C427" t="s">
        <v>22</v>
      </c>
      <c r="D427" t="s">
        <v>367</v>
      </c>
      <c r="E427" t="s">
        <v>30</v>
      </c>
      <c r="F427" t="s">
        <v>426</v>
      </c>
      <c r="G427" t="e">
        <f>VLOOKUP(F427,Hospitals!E:H,4,FALSE)</f>
        <v>#N/A</v>
      </c>
      <c r="H427" s="1">
        <v>45364</v>
      </c>
      <c r="I427" t="s">
        <v>35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f t="shared" si="18"/>
        <v>0</v>
      </c>
      <c r="W427">
        <f t="shared" si="19"/>
        <v>0</v>
      </c>
      <c r="X427">
        <f t="shared" si="20"/>
        <v>0</v>
      </c>
      <c r="Y427">
        <v>13</v>
      </c>
      <c r="Z427" s="2" t="s">
        <v>369</v>
      </c>
    </row>
    <row r="428" spans="1:26" x14ac:dyDescent="0.25">
      <c r="A428">
        <v>383</v>
      </c>
      <c r="B428">
        <v>515</v>
      </c>
      <c r="C428" t="s">
        <v>22</v>
      </c>
      <c r="D428" t="s">
        <v>367</v>
      </c>
      <c r="E428" t="s">
        <v>30</v>
      </c>
      <c r="F428" t="s">
        <v>427</v>
      </c>
      <c r="G428" t="e">
        <f>VLOOKUP(F428,Hospitals!E:H,4,FALSE)</f>
        <v>#N/A</v>
      </c>
      <c r="H428" s="1">
        <v>45365</v>
      </c>
      <c r="I428" t="s">
        <v>35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f t="shared" si="18"/>
        <v>0</v>
      </c>
      <c r="W428">
        <f t="shared" si="19"/>
        <v>0</v>
      </c>
      <c r="X428">
        <f t="shared" si="20"/>
        <v>0</v>
      </c>
      <c r="Y428">
        <v>13</v>
      </c>
      <c r="Z428" s="2" t="s">
        <v>369</v>
      </c>
    </row>
    <row r="429" spans="1:26" x14ac:dyDescent="0.25">
      <c r="A429">
        <v>372</v>
      </c>
      <c r="B429">
        <v>517</v>
      </c>
      <c r="C429" t="s">
        <v>22</v>
      </c>
      <c r="D429" t="s">
        <v>367</v>
      </c>
      <c r="E429" t="s">
        <v>30</v>
      </c>
      <c r="F429" t="s">
        <v>428</v>
      </c>
      <c r="G429" t="str">
        <f>VLOOKUP(F429,Hospitals!E:H,4,FALSE)</f>
        <v>29.3971 , 76.96648</v>
      </c>
      <c r="H429" s="1">
        <v>45365</v>
      </c>
      <c r="I429" t="s">
        <v>35</v>
      </c>
      <c r="J429">
        <v>0</v>
      </c>
      <c r="K429">
        <v>0</v>
      </c>
      <c r="L429">
        <v>0</v>
      </c>
      <c r="M429">
        <v>35.293999999999997</v>
      </c>
      <c r="N429">
        <v>39.130000000000003</v>
      </c>
      <c r="O429">
        <v>39.130000000000003</v>
      </c>
      <c r="P429">
        <v>35.293999999999997</v>
      </c>
      <c r="Q429">
        <v>39.130000000000003</v>
      </c>
      <c r="R429">
        <v>39.130000000000003</v>
      </c>
      <c r="S429">
        <v>0</v>
      </c>
      <c r="T429">
        <v>0</v>
      </c>
      <c r="U429">
        <v>0</v>
      </c>
      <c r="V429">
        <f t="shared" si="18"/>
        <v>17.646999999999998</v>
      </c>
      <c r="W429">
        <f t="shared" si="19"/>
        <v>19.565000000000001</v>
      </c>
      <c r="X429">
        <f t="shared" si="20"/>
        <v>19.565000000000001</v>
      </c>
      <c r="Y429">
        <v>13</v>
      </c>
      <c r="Z429" s="2" t="s">
        <v>369</v>
      </c>
    </row>
    <row r="430" spans="1:26" x14ac:dyDescent="0.25">
      <c r="A430">
        <v>908</v>
      </c>
      <c r="B430">
        <v>518</v>
      </c>
      <c r="C430" t="s">
        <v>22</v>
      </c>
      <c r="D430" t="s">
        <v>367</v>
      </c>
      <c r="E430" t="s">
        <v>30</v>
      </c>
      <c r="F430" t="s">
        <v>429</v>
      </c>
      <c r="G430" t="str">
        <f>VLOOKUP(F430,Hospitals!E:H,4,FALSE)</f>
        <v>29.38681 , 76.95277</v>
      </c>
      <c r="H430" s="1">
        <v>45488</v>
      </c>
      <c r="I430" t="s">
        <v>35</v>
      </c>
      <c r="J430">
        <v>89.171999999999997</v>
      </c>
      <c r="K430">
        <v>86.981999999999999</v>
      </c>
      <c r="L430">
        <v>85.227000000000004</v>
      </c>
      <c r="M430">
        <v>82.352999999999994</v>
      </c>
      <c r="N430">
        <v>73.912999999999997</v>
      </c>
      <c r="O430">
        <v>73.912999999999997</v>
      </c>
      <c r="P430">
        <v>82.352999999999994</v>
      </c>
      <c r="Q430">
        <v>73.912999999999997</v>
      </c>
      <c r="R430">
        <v>73.912999999999997</v>
      </c>
      <c r="S430">
        <v>20</v>
      </c>
      <c r="T430">
        <v>16.667000000000002</v>
      </c>
      <c r="U430">
        <v>0</v>
      </c>
      <c r="V430">
        <f t="shared" si="18"/>
        <v>68.469499999999996</v>
      </c>
      <c r="W430">
        <f t="shared" si="19"/>
        <v>62.868749999999999</v>
      </c>
      <c r="X430">
        <f t="shared" si="20"/>
        <v>58.263249999999999</v>
      </c>
      <c r="Y430">
        <v>13</v>
      </c>
      <c r="Z430" s="2" t="s">
        <v>369</v>
      </c>
    </row>
    <row r="431" spans="1:26" x14ac:dyDescent="0.25">
      <c r="A431">
        <v>342</v>
      </c>
      <c r="B431">
        <v>518</v>
      </c>
      <c r="C431" t="s">
        <v>22</v>
      </c>
      <c r="D431" t="s">
        <v>367</v>
      </c>
      <c r="E431" t="s">
        <v>30</v>
      </c>
      <c r="F431" t="s">
        <v>429</v>
      </c>
      <c r="G431" t="str">
        <f>VLOOKUP(F431,Hospitals!E:H,4,FALSE)</f>
        <v>29.38681 , 76.95277</v>
      </c>
      <c r="H431" s="1">
        <v>45365</v>
      </c>
      <c r="I431" s="1">
        <v>45365</v>
      </c>
      <c r="J431">
        <v>89.171999999999997</v>
      </c>
      <c r="K431">
        <v>86.981999999999999</v>
      </c>
      <c r="L431">
        <v>85.227000000000004</v>
      </c>
      <c r="M431">
        <v>82.352999999999994</v>
      </c>
      <c r="N431">
        <v>73.912999999999997</v>
      </c>
      <c r="O431">
        <v>73.912999999999997</v>
      </c>
      <c r="P431">
        <v>82.352999999999994</v>
      </c>
      <c r="Q431">
        <v>73.912999999999997</v>
      </c>
      <c r="R431">
        <v>73.912999999999997</v>
      </c>
      <c r="S431">
        <v>20</v>
      </c>
      <c r="T431">
        <v>16.667000000000002</v>
      </c>
      <c r="U431">
        <v>0</v>
      </c>
      <c r="V431">
        <f t="shared" si="18"/>
        <v>68.469499999999996</v>
      </c>
      <c r="W431">
        <f t="shared" si="19"/>
        <v>62.868749999999999</v>
      </c>
      <c r="X431">
        <f t="shared" si="20"/>
        <v>58.263249999999999</v>
      </c>
      <c r="Y431">
        <v>13</v>
      </c>
      <c r="Z431" s="2" t="s">
        <v>369</v>
      </c>
    </row>
    <row r="432" spans="1:26" x14ac:dyDescent="0.25">
      <c r="A432">
        <v>475</v>
      </c>
      <c r="B432">
        <v>519</v>
      </c>
      <c r="C432" t="s">
        <v>22</v>
      </c>
      <c r="D432" t="s">
        <v>367</v>
      </c>
      <c r="E432" t="s">
        <v>30</v>
      </c>
      <c r="F432" t="s">
        <v>430</v>
      </c>
      <c r="G432" t="e">
        <f>VLOOKUP(F432,Hospitals!E:H,4,FALSE)</f>
        <v>#N/A</v>
      </c>
      <c r="H432" s="1">
        <v>45374</v>
      </c>
      <c r="I432" t="s">
        <v>35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f t="shared" si="18"/>
        <v>0</v>
      </c>
      <c r="W432">
        <f t="shared" si="19"/>
        <v>0</v>
      </c>
      <c r="X432">
        <f t="shared" si="20"/>
        <v>0</v>
      </c>
      <c r="Y432">
        <v>13</v>
      </c>
      <c r="Z432" s="2" t="s">
        <v>369</v>
      </c>
    </row>
    <row r="433" spans="1:26" x14ac:dyDescent="0.25">
      <c r="A433">
        <v>339</v>
      </c>
      <c r="B433">
        <v>520</v>
      </c>
      <c r="C433" t="s">
        <v>22</v>
      </c>
      <c r="D433" t="s">
        <v>367</v>
      </c>
      <c r="E433" t="s">
        <v>30</v>
      </c>
      <c r="F433" t="s">
        <v>431</v>
      </c>
      <c r="G433" t="str">
        <f>VLOOKUP(F433,Hospitals!E:H,4,FALSE)</f>
        <v>29.38681 , 76.95277</v>
      </c>
      <c r="H433" s="1">
        <v>45368</v>
      </c>
      <c r="I433" s="1">
        <v>45368</v>
      </c>
      <c r="J433">
        <v>99.363</v>
      </c>
      <c r="K433">
        <v>98.816999999999993</v>
      </c>
      <c r="L433">
        <v>97.727000000000004</v>
      </c>
      <c r="M433">
        <v>94.117999999999995</v>
      </c>
      <c r="N433">
        <v>91.304000000000002</v>
      </c>
      <c r="O433">
        <v>91.304000000000002</v>
      </c>
      <c r="P433">
        <v>94.117999999999995</v>
      </c>
      <c r="Q433">
        <v>91.304000000000002</v>
      </c>
      <c r="R433">
        <v>91.304000000000002</v>
      </c>
      <c r="S433">
        <v>30</v>
      </c>
      <c r="T433">
        <v>33.332999999999998</v>
      </c>
      <c r="U433">
        <v>14.286</v>
      </c>
      <c r="V433">
        <f t="shared" si="18"/>
        <v>79.399749999999997</v>
      </c>
      <c r="W433">
        <f t="shared" si="19"/>
        <v>78.689499999999981</v>
      </c>
      <c r="X433">
        <f t="shared" si="20"/>
        <v>73.655250000000009</v>
      </c>
      <c r="Y433">
        <v>13</v>
      </c>
      <c r="Z433" s="2" t="s">
        <v>369</v>
      </c>
    </row>
    <row r="434" spans="1:26" x14ac:dyDescent="0.25">
      <c r="A434">
        <v>403</v>
      </c>
      <c r="B434">
        <v>520</v>
      </c>
      <c r="C434" t="s">
        <v>22</v>
      </c>
      <c r="D434" t="s">
        <v>367</v>
      </c>
      <c r="E434" t="s">
        <v>30</v>
      </c>
      <c r="F434" t="s">
        <v>431</v>
      </c>
      <c r="G434" t="str">
        <f>VLOOKUP(F434,Hospitals!E:H,4,FALSE)</f>
        <v>29.38681 , 76.95277</v>
      </c>
      <c r="H434" s="1">
        <v>45369</v>
      </c>
      <c r="I434" t="s">
        <v>35</v>
      </c>
      <c r="J434">
        <v>99.363</v>
      </c>
      <c r="K434">
        <v>98.816999999999993</v>
      </c>
      <c r="L434">
        <v>97.727000000000004</v>
      </c>
      <c r="M434">
        <v>94.117999999999995</v>
      </c>
      <c r="N434">
        <v>91.304000000000002</v>
      </c>
      <c r="O434">
        <v>91.304000000000002</v>
      </c>
      <c r="P434">
        <v>94.117999999999995</v>
      </c>
      <c r="Q434">
        <v>91.304000000000002</v>
      </c>
      <c r="R434">
        <v>91.304000000000002</v>
      </c>
      <c r="S434">
        <v>30</v>
      </c>
      <c r="T434">
        <v>33.332999999999998</v>
      </c>
      <c r="U434">
        <v>14.286</v>
      </c>
      <c r="V434">
        <f t="shared" si="18"/>
        <v>79.399749999999997</v>
      </c>
      <c r="W434">
        <f t="shared" si="19"/>
        <v>78.689499999999981</v>
      </c>
      <c r="X434">
        <f t="shared" si="20"/>
        <v>73.655250000000009</v>
      </c>
      <c r="Y434">
        <v>13</v>
      </c>
      <c r="Z434" s="2" t="s">
        <v>369</v>
      </c>
    </row>
    <row r="435" spans="1:26" x14ac:dyDescent="0.25">
      <c r="A435">
        <v>368</v>
      </c>
      <c r="B435">
        <v>521</v>
      </c>
      <c r="C435" t="s">
        <v>22</v>
      </c>
      <c r="D435" t="s">
        <v>367</v>
      </c>
      <c r="E435" t="s">
        <v>30</v>
      </c>
      <c r="F435" t="s">
        <v>432</v>
      </c>
      <c r="G435" t="str">
        <f>VLOOKUP(F435,Hospitals!E:H,4,FALSE)</f>
        <v>28.03182 , 76.1088</v>
      </c>
      <c r="H435" s="1">
        <v>45373</v>
      </c>
      <c r="I435" s="1">
        <v>45373</v>
      </c>
      <c r="J435">
        <v>100</v>
      </c>
      <c r="K435">
        <v>99.408000000000001</v>
      </c>
      <c r="L435">
        <v>99.432000000000002</v>
      </c>
      <c r="M435">
        <v>100</v>
      </c>
      <c r="N435">
        <v>91.304000000000002</v>
      </c>
      <c r="O435">
        <v>91.304000000000002</v>
      </c>
      <c r="P435">
        <v>100</v>
      </c>
      <c r="Q435">
        <v>91.304000000000002</v>
      </c>
      <c r="R435">
        <v>91.304000000000002</v>
      </c>
      <c r="S435">
        <v>10</v>
      </c>
      <c r="T435">
        <v>8.3330000000000002</v>
      </c>
      <c r="U435">
        <v>0</v>
      </c>
      <c r="V435">
        <f t="shared" si="18"/>
        <v>77.5</v>
      </c>
      <c r="W435">
        <f t="shared" si="19"/>
        <v>72.587249999999997</v>
      </c>
      <c r="X435">
        <f t="shared" si="20"/>
        <v>70.509999999999991</v>
      </c>
      <c r="Y435">
        <v>13</v>
      </c>
      <c r="Z435" s="2" t="s">
        <v>369</v>
      </c>
    </row>
    <row r="436" spans="1:26" x14ac:dyDescent="0.25">
      <c r="A436">
        <v>367</v>
      </c>
      <c r="B436">
        <v>522</v>
      </c>
      <c r="C436" t="s">
        <v>22</v>
      </c>
      <c r="D436" t="s">
        <v>367</v>
      </c>
      <c r="E436" t="s">
        <v>30</v>
      </c>
      <c r="F436" t="s">
        <v>433</v>
      </c>
      <c r="G436" t="str">
        <f>VLOOKUP(F436,Hospitals!E:H,4,FALSE)</f>
        <v>29.41058 , 76.97582</v>
      </c>
      <c r="H436" s="1">
        <v>45364</v>
      </c>
      <c r="I436" s="1">
        <v>45364</v>
      </c>
      <c r="J436">
        <v>68.153000000000006</v>
      </c>
      <c r="K436">
        <v>65.680000000000007</v>
      </c>
      <c r="L436">
        <v>64.772999999999996</v>
      </c>
      <c r="M436">
        <v>64.706000000000003</v>
      </c>
      <c r="N436">
        <v>69.564999999999998</v>
      </c>
      <c r="O436">
        <v>69.564999999999998</v>
      </c>
      <c r="P436">
        <v>64.706000000000003</v>
      </c>
      <c r="Q436">
        <v>69.564999999999998</v>
      </c>
      <c r="R436">
        <v>69.564999999999998</v>
      </c>
      <c r="S436">
        <v>10</v>
      </c>
      <c r="T436">
        <v>8.3330000000000002</v>
      </c>
      <c r="U436">
        <v>0</v>
      </c>
      <c r="V436">
        <f t="shared" si="18"/>
        <v>51.891249999999999</v>
      </c>
      <c r="W436">
        <f t="shared" si="19"/>
        <v>53.28575</v>
      </c>
      <c r="X436">
        <f t="shared" si="20"/>
        <v>50.975749999999998</v>
      </c>
      <c r="Y436">
        <v>13</v>
      </c>
      <c r="Z436" s="2" t="s">
        <v>369</v>
      </c>
    </row>
    <row r="437" spans="1:26" x14ac:dyDescent="0.25">
      <c r="A437">
        <v>365</v>
      </c>
      <c r="B437">
        <v>523</v>
      </c>
      <c r="C437" t="s">
        <v>22</v>
      </c>
      <c r="D437" t="s">
        <v>367</v>
      </c>
      <c r="E437" t="s">
        <v>30</v>
      </c>
      <c r="F437" t="s">
        <v>434</v>
      </c>
      <c r="G437" t="str">
        <f>VLOOKUP(F437,Hospitals!E:H,4,FALSE)</f>
        <v>29.4119 , 76.97582</v>
      </c>
      <c r="H437" s="1">
        <v>45367</v>
      </c>
      <c r="I437" s="1">
        <v>45367</v>
      </c>
      <c r="J437">
        <v>94.268000000000001</v>
      </c>
      <c r="K437">
        <v>94.082999999999998</v>
      </c>
      <c r="L437">
        <v>93.182000000000002</v>
      </c>
      <c r="M437">
        <v>100</v>
      </c>
      <c r="N437">
        <v>95.652000000000001</v>
      </c>
      <c r="O437">
        <v>95.652000000000001</v>
      </c>
      <c r="P437">
        <v>100</v>
      </c>
      <c r="Q437">
        <v>95.652000000000001</v>
      </c>
      <c r="R437">
        <v>95.652000000000001</v>
      </c>
      <c r="S437">
        <v>20</v>
      </c>
      <c r="T437">
        <v>25</v>
      </c>
      <c r="U437">
        <v>14.286</v>
      </c>
      <c r="V437">
        <f t="shared" si="18"/>
        <v>78.567000000000007</v>
      </c>
      <c r="W437">
        <f t="shared" si="19"/>
        <v>77.59675</v>
      </c>
      <c r="X437">
        <f t="shared" si="20"/>
        <v>74.692999999999998</v>
      </c>
      <c r="Y437">
        <v>13</v>
      </c>
      <c r="Z437" s="2" t="s">
        <v>369</v>
      </c>
    </row>
    <row r="438" spans="1:26" x14ac:dyDescent="0.25">
      <c r="A438">
        <v>400</v>
      </c>
      <c r="B438">
        <v>523</v>
      </c>
      <c r="C438" t="s">
        <v>22</v>
      </c>
      <c r="D438" t="s">
        <v>367</v>
      </c>
      <c r="E438" t="s">
        <v>30</v>
      </c>
      <c r="F438" t="s">
        <v>434</v>
      </c>
      <c r="G438" t="str">
        <f>VLOOKUP(F438,Hospitals!E:H,4,FALSE)</f>
        <v>29.4119 , 76.97582</v>
      </c>
      <c r="H438" s="1">
        <v>45373</v>
      </c>
      <c r="I438" s="1">
        <v>45373</v>
      </c>
      <c r="J438">
        <v>94.268000000000001</v>
      </c>
      <c r="K438">
        <v>94.082999999999998</v>
      </c>
      <c r="L438">
        <v>93.182000000000002</v>
      </c>
      <c r="M438">
        <v>100</v>
      </c>
      <c r="N438">
        <v>95.652000000000001</v>
      </c>
      <c r="O438">
        <v>95.652000000000001</v>
      </c>
      <c r="P438">
        <v>100</v>
      </c>
      <c r="Q438">
        <v>95.652000000000001</v>
      </c>
      <c r="R438">
        <v>95.652000000000001</v>
      </c>
      <c r="S438">
        <v>20</v>
      </c>
      <c r="T438">
        <v>25</v>
      </c>
      <c r="U438">
        <v>14.286</v>
      </c>
      <c r="V438">
        <f t="shared" si="18"/>
        <v>78.567000000000007</v>
      </c>
      <c r="W438">
        <f t="shared" si="19"/>
        <v>77.59675</v>
      </c>
      <c r="X438">
        <f t="shared" si="20"/>
        <v>74.692999999999998</v>
      </c>
      <c r="Y438">
        <v>13</v>
      </c>
      <c r="Z438" s="2" t="s">
        <v>369</v>
      </c>
    </row>
    <row r="439" spans="1:26" x14ac:dyDescent="0.25">
      <c r="A439">
        <v>344</v>
      </c>
      <c r="B439">
        <v>524</v>
      </c>
      <c r="C439" t="s">
        <v>22</v>
      </c>
      <c r="D439" t="s">
        <v>367</v>
      </c>
      <c r="E439" t="s">
        <v>30</v>
      </c>
      <c r="F439" t="s">
        <v>435</v>
      </c>
      <c r="G439" t="str">
        <f>VLOOKUP(F439,Hospitals!E:H,4,FALSE)</f>
        <v>29.38681 , 76.95277</v>
      </c>
      <c r="H439" s="1">
        <v>45538</v>
      </c>
      <c r="I439" t="s">
        <v>35</v>
      </c>
      <c r="J439">
        <v>0</v>
      </c>
      <c r="K439">
        <v>0</v>
      </c>
      <c r="L439">
        <v>0</v>
      </c>
      <c r="M439">
        <v>76.471000000000004</v>
      </c>
      <c r="N439">
        <v>73.912999999999997</v>
      </c>
      <c r="O439">
        <v>73.912999999999997</v>
      </c>
      <c r="P439">
        <v>76.471000000000004</v>
      </c>
      <c r="Q439">
        <v>73.912999999999997</v>
      </c>
      <c r="R439">
        <v>73.912999999999997</v>
      </c>
      <c r="S439">
        <v>20</v>
      </c>
      <c r="T439">
        <v>16.667000000000002</v>
      </c>
      <c r="U439">
        <v>0</v>
      </c>
      <c r="V439">
        <f t="shared" si="18"/>
        <v>43.235500000000002</v>
      </c>
      <c r="W439">
        <f t="shared" si="19"/>
        <v>41.123249999999999</v>
      </c>
      <c r="X439">
        <f t="shared" si="20"/>
        <v>36.956499999999998</v>
      </c>
      <c r="Y439">
        <v>13</v>
      </c>
      <c r="Z439" s="2" t="s">
        <v>369</v>
      </c>
    </row>
    <row r="440" spans="1:26" x14ac:dyDescent="0.25">
      <c r="A440">
        <v>341</v>
      </c>
      <c r="B440">
        <v>525</v>
      </c>
      <c r="C440" t="s">
        <v>22</v>
      </c>
      <c r="D440" t="s">
        <v>367</v>
      </c>
      <c r="E440" t="s">
        <v>30</v>
      </c>
      <c r="F440" t="s">
        <v>436</v>
      </c>
      <c r="G440" t="str">
        <f>VLOOKUP(F440,Hospitals!E:H,4,FALSE)</f>
        <v>29.38681 , 76.95277</v>
      </c>
      <c r="H440" s="1">
        <v>45360</v>
      </c>
      <c r="I440" t="s">
        <v>35</v>
      </c>
      <c r="J440">
        <v>76.433000000000007</v>
      </c>
      <c r="K440">
        <v>75.739999999999995</v>
      </c>
      <c r="L440">
        <v>74.432000000000002</v>
      </c>
      <c r="M440">
        <v>94.117999999999995</v>
      </c>
      <c r="N440">
        <v>86.956999999999994</v>
      </c>
      <c r="O440">
        <v>86.956999999999994</v>
      </c>
      <c r="P440">
        <v>94.117999999999995</v>
      </c>
      <c r="Q440">
        <v>86.956999999999994</v>
      </c>
      <c r="R440">
        <v>86.956999999999994</v>
      </c>
      <c r="S440">
        <v>10</v>
      </c>
      <c r="T440">
        <v>8.3330000000000002</v>
      </c>
      <c r="U440">
        <v>0</v>
      </c>
      <c r="V440">
        <f t="shared" si="18"/>
        <v>68.667249999999996</v>
      </c>
      <c r="W440">
        <f t="shared" si="19"/>
        <v>64.496750000000006</v>
      </c>
      <c r="X440">
        <f t="shared" si="20"/>
        <v>62.086500000000001</v>
      </c>
      <c r="Y440">
        <v>13</v>
      </c>
      <c r="Z440" s="2" t="s">
        <v>369</v>
      </c>
    </row>
    <row r="441" spans="1:26" x14ac:dyDescent="0.25">
      <c r="A441">
        <v>295</v>
      </c>
      <c r="B441">
        <v>526</v>
      </c>
      <c r="C441" t="s">
        <v>22</v>
      </c>
      <c r="D441" t="s">
        <v>367</v>
      </c>
      <c r="E441" t="s">
        <v>30</v>
      </c>
      <c r="F441" t="s">
        <v>437</v>
      </c>
      <c r="G441" t="e">
        <f>VLOOKUP(F441,Hospitals!E:H,4,FALSE)</f>
        <v>#N/A</v>
      </c>
      <c r="H441" s="1">
        <v>45348</v>
      </c>
      <c r="I441" t="s">
        <v>35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f t="shared" si="18"/>
        <v>0</v>
      </c>
      <c r="W441">
        <f t="shared" si="19"/>
        <v>0</v>
      </c>
      <c r="X441">
        <f t="shared" si="20"/>
        <v>0</v>
      </c>
      <c r="Y441">
        <v>13</v>
      </c>
      <c r="Z441" s="2" t="s">
        <v>369</v>
      </c>
    </row>
    <row r="442" spans="1:26" x14ac:dyDescent="0.25">
      <c r="A442">
        <v>782</v>
      </c>
      <c r="B442">
        <v>529</v>
      </c>
      <c r="C442" t="s">
        <v>22</v>
      </c>
      <c r="D442" t="s">
        <v>367</v>
      </c>
      <c r="E442" t="s">
        <v>77</v>
      </c>
      <c r="F442" t="s">
        <v>438</v>
      </c>
      <c r="G442" t="str">
        <f>VLOOKUP(F442,Hospitals!E:H,4,FALSE)</f>
        <v>29.2551 , 76.99886</v>
      </c>
      <c r="H442" s="1">
        <v>45449</v>
      </c>
      <c r="I442" t="s">
        <v>35</v>
      </c>
      <c r="J442">
        <v>66.242000000000004</v>
      </c>
      <c r="K442">
        <v>63.905000000000001</v>
      </c>
      <c r="L442">
        <v>61.932000000000002</v>
      </c>
      <c r="M442">
        <v>82.352999999999994</v>
      </c>
      <c r="N442">
        <v>65.216999999999999</v>
      </c>
      <c r="O442">
        <v>65.216999999999999</v>
      </c>
      <c r="P442">
        <v>82.352999999999994</v>
      </c>
      <c r="Q442">
        <v>65.216999999999999</v>
      </c>
      <c r="R442">
        <v>65.216999999999999</v>
      </c>
      <c r="S442">
        <v>40</v>
      </c>
      <c r="T442">
        <v>16.667000000000002</v>
      </c>
      <c r="U442">
        <v>0</v>
      </c>
      <c r="V442">
        <f t="shared" si="18"/>
        <v>67.736999999999995</v>
      </c>
      <c r="W442">
        <f t="shared" si="19"/>
        <v>52.7515</v>
      </c>
      <c r="X442">
        <f t="shared" si="20"/>
        <v>48.091499999999996</v>
      </c>
      <c r="Y442">
        <v>13</v>
      </c>
      <c r="Z442" s="2" t="s">
        <v>369</v>
      </c>
    </row>
    <row r="443" spans="1:26" x14ac:dyDescent="0.25">
      <c r="A443">
        <v>313</v>
      </c>
      <c r="B443">
        <v>529</v>
      </c>
      <c r="C443" t="s">
        <v>22</v>
      </c>
      <c r="D443" t="s">
        <v>367</v>
      </c>
      <c r="E443" t="s">
        <v>77</v>
      </c>
      <c r="F443" t="s">
        <v>438</v>
      </c>
      <c r="G443" t="str">
        <f>VLOOKUP(F443,Hospitals!E:H,4,FALSE)</f>
        <v>29.2551 , 76.99886</v>
      </c>
      <c r="H443" s="1">
        <v>45358</v>
      </c>
      <c r="I443" s="1">
        <v>45358</v>
      </c>
      <c r="J443">
        <v>66.242000000000004</v>
      </c>
      <c r="K443">
        <v>63.905000000000001</v>
      </c>
      <c r="L443">
        <v>61.932000000000002</v>
      </c>
      <c r="M443">
        <v>82.352999999999994</v>
      </c>
      <c r="N443">
        <v>65.216999999999999</v>
      </c>
      <c r="O443">
        <v>65.216999999999999</v>
      </c>
      <c r="P443">
        <v>82.352999999999994</v>
      </c>
      <c r="Q443">
        <v>65.216999999999999</v>
      </c>
      <c r="R443">
        <v>65.216999999999999</v>
      </c>
      <c r="S443">
        <v>40</v>
      </c>
      <c r="T443">
        <v>16.667000000000002</v>
      </c>
      <c r="U443">
        <v>0</v>
      </c>
      <c r="V443">
        <f t="shared" si="18"/>
        <v>67.736999999999995</v>
      </c>
      <c r="W443">
        <f t="shared" si="19"/>
        <v>52.7515</v>
      </c>
      <c r="X443">
        <f t="shared" si="20"/>
        <v>48.091499999999996</v>
      </c>
      <c r="Y443">
        <v>13</v>
      </c>
      <c r="Z443" s="2" t="s">
        <v>369</v>
      </c>
    </row>
    <row r="444" spans="1:26" x14ac:dyDescent="0.25">
      <c r="A444">
        <v>335</v>
      </c>
      <c r="B444">
        <v>529</v>
      </c>
      <c r="C444" t="s">
        <v>22</v>
      </c>
      <c r="D444" t="s">
        <v>367</v>
      </c>
      <c r="E444" t="s">
        <v>77</v>
      </c>
      <c r="F444" t="s">
        <v>438</v>
      </c>
      <c r="G444" t="str">
        <f>VLOOKUP(F444,Hospitals!E:H,4,FALSE)</f>
        <v>29.2551 , 76.99886</v>
      </c>
      <c r="H444" s="1">
        <v>45407</v>
      </c>
      <c r="I444" s="1">
        <v>45407</v>
      </c>
      <c r="J444">
        <v>66.242000000000004</v>
      </c>
      <c r="K444">
        <v>63.905000000000001</v>
      </c>
      <c r="L444">
        <v>61.932000000000002</v>
      </c>
      <c r="M444">
        <v>82.352999999999994</v>
      </c>
      <c r="N444">
        <v>65.216999999999999</v>
      </c>
      <c r="O444">
        <v>65.216999999999999</v>
      </c>
      <c r="P444">
        <v>82.352999999999994</v>
      </c>
      <c r="Q444">
        <v>65.216999999999999</v>
      </c>
      <c r="R444">
        <v>65.216999999999999</v>
      </c>
      <c r="S444">
        <v>40</v>
      </c>
      <c r="T444">
        <v>16.667000000000002</v>
      </c>
      <c r="U444">
        <v>0</v>
      </c>
      <c r="V444">
        <f t="shared" si="18"/>
        <v>67.736999999999995</v>
      </c>
      <c r="W444">
        <f t="shared" si="19"/>
        <v>52.7515</v>
      </c>
      <c r="X444">
        <f t="shared" si="20"/>
        <v>48.091499999999996</v>
      </c>
      <c r="Y444">
        <v>13</v>
      </c>
      <c r="Z444" s="2" t="s">
        <v>369</v>
      </c>
    </row>
    <row r="445" spans="1:26" x14ac:dyDescent="0.25">
      <c r="A445">
        <v>866</v>
      </c>
      <c r="B445">
        <v>53</v>
      </c>
      <c r="C445" t="s">
        <v>22</v>
      </c>
      <c r="D445" t="s">
        <v>328</v>
      </c>
      <c r="E445" t="s">
        <v>30</v>
      </c>
      <c r="F445" t="s">
        <v>439</v>
      </c>
      <c r="G445" t="str">
        <f>VLOOKUP(F445,Hospitals!E:H,4,FALSE)</f>
        <v>28.80025 , 76.14133</v>
      </c>
      <c r="H445" s="1">
        <v>45474</v>
      </c>
      <c r="I445" s="1">
        <v>45474</v>
      </c>
      <c r="J445">
        <v>82.802999999999997</v>
      </c>
      <c r="K445">
        <v>81.656999999999996</v>
      </c>
      <c r="L445">
        <v>78.977000000000004</v>
      </c>
      <c r="M445">
        <v>82.352999999999994</v>
      </c>
      <c r="N445">
        <v>86.956999999999994</v>
      </c>
      <c r="O445">
        <v>86.956999999999994</v>
      </c>
      <c r="P445">
        <v>82.352999999999994</v>
      </c>
      <c r="Q445">
        <v>86.956999999999994</v>
      </c>
      <c r="R445">
        <v>86.956999999999994</v>
      </c>
      <c r="S445">
        <v>0</v>
      </c>
      <c r="T445">
        <v>0</v>
      </c>
      <c r="U445">
        <v>0</v>
      </c>
      <c r="V445">
        <f t="shared" si="18"/>
        <v>61.877250000000004</v>
      </c>
      <c r="W445">
        <f t="shared" si="19"/>
        <v>63.892749999999992</v>
      </c>
      <c r="X445">
        <f t="shared" si="20"/>
        <v>63.222749999999998</v>
      </c>
      <c r="Y445">
        <v>13</v>
      </c>
      <c r="Z445" s="2" t="s">
        <v>330</v>
      </c>
    </row>
    <row r="446" spans="1:26" x14ac:dyDescent="0.25">
      <c r="A446">
        <v>799</v>
      </c>
      <c r="B446">
        <v>53</v>
      </c>
      <c r="C446" t="s">
        <v>22</v>
      </c>
      <c r="D446" t="s">
        <v>328</v>
      </c>
      <c r="E446" t="s">
        <v>30</v>
      </c>
      <c r="F446" t="s">
        <v>439</v>
      </c>
      <c r="G446" t="str">
        <f>VLOOKUP(F446,Hospitals!E:H,4,FALSE)</f>
        <v>28.80025 , 76.14133</v>
      </c>
      <c r="H446" s="1">
        <v>45457</v>
      </c>
      <c r="I446" s="1">
        <v>45457</v>
      </c>
      <c r="J446">
        <v>82.802999999999997</v>
      </c>
      <c r="K446">
        <v>81.656999999999996</v>
      </c>
      <c r="L446">
        <v>78.977000000000004</v>
      </c>
      <c r="M446">
        <v>82.352999999999994</v>
      </c>
      <c r="N446">
        <v>86.956999999999994</v>
      </c>
      <c r="O446">
        <v>86.956999999999994</v>
      </c>
      <c r="P446">
        <v>82.352999999999994</v>
      </c>
      <c r="Q446">
        <v>86.956999999999994</v>
      </c>
      <c r="R446">
        <v>86.956999999999994</v>
      </c>
      <c r="S446">
        <v>0</v>
      </c>
      <c r="T446">
        <v>0</v>
      </c>
      <c r="U446">
        <v>0</v>
      </c>
      <c r="V446">
        <f t="shared" si="18"/>
        <v>61.877250000000004</v>
      </c>
      <c r="W446">
        <f t="shared" si="19"/>
        <v>63.892749999999992</v>
      </c>
      <c r="X446">
        <f t="shared" si="20"/>
        <v>63.222749999999998</v>
      </c>
      <c r="Y446">
        <v>13</v>
      </c>
      <c r="Z446" s="2" t="s">
        <v>330</v>
      </c>
    </row>
    <row r="447" spans="1:26" x14ac:dyDescent="0.25">
      <c r="A447">
        <v>860</v>
      </c>
      <c r="B447">
        <v>53</v>
      </c>
      <c r="C447" t="s">
        <v>22</v>
      </c>
      <c r="D447" t="s">
        <v>328</v>
      </c>
      <c r="E447" t="s">
        <v>30</v>
      </c>
      <c r="F447" t="s">
        <v>439</v>
      </c>
      <c r="G447" t="str">
        <f>VLOOKUP(F447,Hospitals!E:H,4,FALSE)</f>
        <v>28.80025 , 76.14133</v>
      </c>
      <c r="H447" s="1">
        <v>45472</v>
      </c>
      <c r="I447" s="1">
        <v>45472</v>
      </c>
      <c r="J447">
        <v>82.802999999999997</v>
      </c>
      <c r="K447">
        <v>81.656999999999996</v>
      </c>
      <c r="L447">
        <v>78.977000000000004</v>
      </c>
      <c r="M447">
        <v>82.352999999999994</v>
      </c>
      <c r="N447">
        <v>86.956999999999994</v>
      </c>
      <c r="O447">
        <v>86.956999999999994</v>
      </c>
      <c r="P447">
        <v>82.352999999999994</v>
      </c>
      <c r="Q447">
        <v>86.956999999999994</v>
      </c>
      <c r="R447">
        <v>86.956999999999994</v>
      </c>
      <c r="S447">
        <v>0</v>
      </c>
      <c r="T447">
        <v>0</v>
      </c>
      <c r="U447">
        <v>0</v>
      </c>
      <c r="V447">
        <f t="shared" si="18"/>
        <v>61.877250000000004</v>
      </c>
      <c r="W447">
        <f t="shared" si="19"/>
        <v>63.892749999999992</v>
      </c>
      <c r="X447">
        <f t="shared" si="20"/>
        <v>63.222749999999998</v>
      </c>
      <c r="Y447">
        <v>13</v>
      </c>
      <c r="Z447" s="2" t="s">
        <v>330</v>
      </c>
    </row>
    <row r="448" spans="1:26" x14ac:dyDescent="0.25">
      <c r="A448">
        <v>854</v>
      </c>
      <c r="B448">
        <v>53</v>
      </c>
      <c r="C448" t="s">
        <v>22</v>
      </c>
      <c r="D448" t="s">
        <v>328</v>
      </c>
      <c r="E448" t="s">
        <v>30</v>
      </c>
      <c r="F448" t="s">
        <v>439</v>
      </c>
      <c r="G448" t="str">
        <f>VLOOKUP(F448,Hospitals!E:H,4,FALSE)</f>
        <v>28.80025 , 76.14133</v>
      </c>
      <c r="H448" s="1">
        <v>45470</v>
      </c>
      <c r="I448" s="1">
        <v>45472</v>
      </c>
      <c r="J448">
        <v>82.802999999999997</v>
      </c>
      <c r="K448">
        <v>81.656999999999996</v>
      </c>
      <c r="L448">
        <v>78.977000000000004</v>
      </c>
      <c r="M448">
        <v>82.352999999999994</v>
      </c>
      <c r="N448">
        <v>86.956999999999994</v>
      </c>
      <c r="O448">
        <v>86.956999999999994</v>
      </c>
      <c r="P448">
        <v>82.352999999999994</v>
      </c>
      <c r="Q448">
        <v>86.956999999999994</v>
      </c>
      <c r="R448">
        <v>86.956999999999994</v>
      </c>
      <c r="S448">
        <v>0</v>
      </c>
      <c r="T448">
        <v>0</v>
      </c>
      <c r="U448">
        <v>0</v>
      </c>
      <c r="V448">
        <f t="shared" si="18"/>
        <v>61.877250000000004</v>
      </c>
      <c r="W448">
        <f t="shared" si="19"/>
        <v>63.892749999999992</v>
      </c>
      <c r="X448">
        <f t="shared" si="20"/>
        <v>63.222749999999998</v>
      </c>
      <c r="Y448">
        <v>13</v>
      </c>
      <c r="Z448" s="2" t="s">
        <v>330</v>
      </c>
    </row>
    <row r="449" spans="1:26" x14ac:dyDescent="0.25">
      <c r="A449">
        <v>875</v>
      </c>
      <c r="B449">
        <v>53</v>
      </c>
      <c r="C449" t="s">
        <v>22</v>
      </c>
      <c r="D449" t="s">
        <v>328</v>
      </c>
      <c r="E449" t="s">
        <v>30</v>
      </c>
      <c r="F449" t="s">
        <v>439</v>
      </c>
      <c r="G449" t="str">
        <f>VLOOKUP(F449,Hospitals!E:H,4,FALSE)</f>
        <v>28.80025 , 76.14133</v>
      </c>
      <c r="H449" s="1">
        <v>45476</v>
      </c>
      <c r="I449" s="1">
        <v>45476</v>
      </c>
      <c r="J449">
        <v>82.802999999999997</v>
      </c>
      <c r="K449">
        <v>81.656999999999996</v>
      </c>
      <c r="L449">
        <v>78.977000000000004</v>
      </c>
      <c r="M449">
        <v>35.293999999999997</v>
      </c>
      <c r="N449">
        <v>43.478000000000002</v>
      </c>
      <c r="O449">
        <v>43.478000000000002</v>
      </c>
      <c r="P449">
        <v>35.293999999999997</v>
      </c>
      <c r="Q449">
        <v>43.478000000000002</v>
      </c>
      <c r="R449">
        <v>43.478000000000002</v>
      </c>
      <c r="S449">
        <v>0</v>
      </c>
      <c r="T449">
        <v>0</v>
      </c>
      <c r="U449">
        <v>0</v>
      </c>
      <c r="V449">
        <f t="shared" si="18"/>
        <v>38.347749999999998</v>
      </c>
      <c r="W449">
        <f t="shared" si="19"/>
        <v>42.15325</v>
      </c>
      <c r="X449">
        <f t="shared" si="20"/>
        <v>41.483250000000005</v>
      </c>
      <c r="Y449">
        <v>13</v>
      </c>
      <c r="Z449" s="2" t="s">
        <v>330</v>
      </c>
    </row>
    <row r="450" spans="1:26" x14ac:dyDescent="0.25">
      <c r="A450">
        <v>867</v>
      </c>
      <c r="B450">
        <v>53</v>
      </c>
      <c r="C450" t="s">
        <v>22</v>
      </c>
      <c r="D450" t="s">
        <v>328</v>
      </c>
      <c r="E450" t="s">
        <v>30</v>
      </c>
      <c r="F450" t="s">
        <v>439</v>
      </c>
      <c r="G450" t="str">
        <f>VLOOKUP(F450,Hospitals!E:H,4,FALSE)</f>
        <v>28.80025 , 76.14133</v>
      </c>
      <c r="H450" s="1">
        <v>45474</v>
      </c>
      <c r="I450" s="1">
        <v>45476</v>
      </c>
      <c r="J450">
        <v>82.802999999999997</v>
      </c>
      <c r="K450">
        <v>81.656999999999996</v>
      </c>
      <c r="L450">
        <v>78.977000000000004</v>
      </c>
      <c r="M450">
        <v>82.352999999999994</v>
      </c>
      <c r="N450">
        <v>86.956999999999994</v>
      </c>
      <c r="O450">
        <v>86.956999999999994</v>
      </c>
      <c r="P450">
        <v>82.352999999999994</v>
      </c>
      <c r="Q450">
        <v>86.956999999999994</v>
      </c>
      <c r="R450">
        <v>86.956999999999994</v>
      </c>
      <c r="S450">
        <v>0</v>
      </c>
      <c r="T450">
        <v>0</v>
      </c>
      <c r="U450">
        <v>0</v>
      </c>
      <c r="V450">
        <f t="shared" si="18"/>
        <v>61.877250000000004</v>
      </c>
      <c r="W450">
        <f t="shared" si="19"/>
        <v>63.892749999999992</v>
      </c>
      <c r="X450">
        <f t="shared" si="20"/>
        <v>63.222749999999998</v>
      </c>
      <c r="Y450">
        <v>13</v>
      </c>
      <c r="Z450" s="2" t="s">
        <v>330</v>
      </c>
    </row>
    <row r="451" spans="1:26" x14ac:dyDescent="0.25">
      <c r="A451">
        <v>881</v>
      </c>
      <c r="B451">
        <v>53</v>
      </c>
      <c r="C451" t="s">
        <v>22</v>
      </c>
      <c r="D451" t="s">
        <v>328</v>
      </c>
      <c r="E451" t="s">
        <v>30</v>
      </c>
      <c r="F451" t="s">
        <v>439</v>
      </c>
      <c r="G451" t="str">
        <f>VLOOKUP(F451,Hospitals!E:H,4,FALSE)</f>
        <v>28.80025 , 76.14133</v>
      </c>
      <c r="H451" s="1">
        <v>45476</v>
      </c>
      <c r="I451" s="1">
        <v>45478</v>
      </c>
      <c r="J451">
        <v>70.700999999999993</v>
      </c>
      <c r="K451">
        <v>68.638999999999996</v>
      </c>
      <c r="L451">
        <v>66.477000000000004</v>
      </c>
      <c r="M451">
        <v>35.293999999999997</v>
      </c>
      <c r="N451">
        <v>43.478000000000002</v>
      </c>
      <c r="O451">
        <v>43.478000000000002</v>
      </c>
      <c r="P451">
        <v>35.293999999999997</v>
      </c>
      <c r="Q451">
        <v>43.478000000000002</v>
      </c>
      <c r="R451">
        <v>43.478000000000002</v>
      </c>
      <c r="S451">
        <v>0</v>
      </c>
      <c r="T451">
        <v>0</v>
      </c>
      <c r="U451">
        <v>0</v>
      </c>
      <c r="V451">
        <f t="shared" ref="V451:V514" si="21">AVERAGE(J451,M451,P451,S451)</f>
        <v>35.322249999999997</v>
      </c>
      <c r="W451">
        <f t="shared" ref="W451:W514" si="22">AVERAGE(K451,N451,Q451,T451)</f>
        <v>38.89875</v>
      </c>
      <c r="X451">
        <f t="shared" ref="X451:X514" si="23">AVERAGE(L451,O451,R451,U451)</f>
        <v>38.358250000000005</v>
      </c>
      <c r="Y451">
        <v>13</v>
      </c>
      <c r="Z451" s="2" t="s">
        <v>330</v>
      </c>
    </row>
    <row r="452" spans="1:26" x14ac:dyDescent="0.25">
      <c r="A452">
        <v>880</v>
      </c>
      <c r="B452">
        <v>53</v>
      </c>
      <c r="C452" t="s">
        <v>22</v>
      </c>
      <c r="D452" t="s">
        <v>328</v>
      </c>
      <c r="E452" t="s">
        <v>30</v>
      </c>
      <c r="F452" t="s">
        <v>439</v>
      </c>
      <c r="G452" t="str">
        <f>VLOOKUP(F452,Hospitals!E:H,4,FALSE)</f>
        <v>28.80025 , 76.14133</v>
      </c>
      <c r="H452" s="1">
        <v>45476</v>
      </c>
      <c r="I452" s="1">
        <v>45476</v>
      </c>
      <c r="J452">
        <v>70.700999999999993</v>
      </c>
      <c r="K452">
        <v>68.638999999999996</v>
      </c>
      <c r="L452">
        <v>66.477000000000004</v>
      </c>
      <c r="M452">
        <v>35.293999999999997</v>
      </c>
      <c r="N452">
        <v>43.478000000000002</v>
      </c>
      <c r="O452">
        <v>43.478000000000002</v>
      </c>
      <c r="P452">
        <v>35.293999999999997</v>
      </c>
      <c r="Q452">
        <v>43.478000000000002</v>
      </c>
      <c r="R452">
        <v>43.478000000000002</v>
      </c>
      <c r="S452">
        <v>0</v>
      </c>
      <c r="T452">
        <v>0</v>
      </c>
      <c r="U452">
        <v>0</v>
      </c>
      <c r="V452">
        <f t="shared" si="21"/>
        <v>35.322249999999997</v>
      </c>
      <c r="W452">
        <f t="shared" si="22"/>
        <v>38.89875</v>
      </c>
      <c r="X452">
        <f t="shared" si="23"/>
        <v>38.358250000000005</v>
      </c>
      <c r="Y452">
        <v>13</v>
      </c>
      <c r="Z452" s="2" t="s">
        <v>330</v>
      </c>
    </row>
    <row r="453" spans="1:26" x14ac:dyDescent="0.25">
      <c r="A453">
        <v>879</v>
      </c>
      <c r="B453">
        <v>53</v>
      </c>
      <c r="C453" t="s">
        <v>22</v>
      </c>
      <c r="D453" t="s">
        <v>328</v>
      </c>
      <c r="E453" t="s">
        <v>30</v>
      </c>
      <c r="F453" t="s">
        <v>439</v>
      </c>
      <c r="G453" t="str">
        <f>VLOOKUP(F453,Hospitals!E:H,4,FALSE)</f>
        <v>28.80025 , 76.14133</v>
      </c>
      <c r="H453" s="1">
        <v>45476</v>
      </c>
      <c r="I453" s="1">
        <v>45476</v>
      </c>
      <c r="J453">
        <v>70.700999999999993</v>
      </c>
      <c r="K453">
        <v>68.638999999999996</v>
      </c>
      <c r="L453">
        <v>66.477000000000004</v>
      </c>
      <c r="M453">
        <v>35.293999999999997</v>
      </c>
      <c r="N453">
        <v>43.478000000000002</v>
      </c>
      <c r="O453">
        <v>43.478000000000002</v>
      </c>
      <c r="P453">
        <v>35.293999999999997</v>
      </c>
      <c r="Q453">
        <v>43.478000000000002</v>
      </c>
      <c r="R453">
        <v>43.478000000000002</v>
      </c>
      <c r="S453">
        <v>0</v>
      </c>
      <c r="T453">
        <v>0</v>
      </c>
      <c r="U453">
        <v>0</v>
      </c>
      <c r="V453">
        <f t="shared" si="21"/>
        <v>35.322249999999997</v>
      </c>
      <c r="W453">
        <f t="shared" si="22"/>
        <v>38.89875</v>
      </c>
      <c r="X453">
        <f t="shared" si="23"/>
        <v>38.358250000000005</v>
      </c>
      <c r="Y453">
        <v>13</v>
      </c>
      <c r="Z453" s="2" t="s">
        <v>330</v>
      </c>
    </row>
    <row r="454" spans="1:26" x14ac:dyDescent="0.25">
      <c r="A454">
        <v>863</v>
      </c>
      <c r="B454">
        <v>53</v>
      </c>
      <c r="C454" t="s">
        <v>22</v>
      </c>
      <c r="D454" t="s">
        <v>328</v>
      </c>
      <c r="E454" t="s">
        <v>30</v>
      </c>
      <c r="F454" t="s">
        <v>439</v>
      </c>
      <c r="G454" t="str">
        <f>VLOOKUP(F454,Hospitals!E:H,4,FALSE)</f>
        <v>28.80025 , 76.14133</v>
      </c>
      <c r="H454" s="1">
        <v>45472</v>
      </c>
      <c r="I454" s="1">
        <v>45474</v>
      </c>
      <c r="J454">
        <v>82.802999999999997</v>
      </c>
      <c r="K454">
        <v>81.656999999999996</v>
      </c>
      <c r="L454">
        <v>78.977000000000004</v>
      </c>
      <c r="M454">
        <v>82.352999999999994</v>
      </c>
      <c r="N454">
        <v>86.956999999999994</v>
      </c>
      <c r="O454">
        <v>86.956999999999994</v>
      </c>
      <c r="P454">
        <v>82.352999999999994</v>
      </c>
      <c r="Q454">
        <v>86.956999999999994</v>
      </c>
      <c r="R454">
        <v>86.956999999999994</v>
      </c>
      <c r="S454">
        <v>0</v>
      </c>
      <c r="T454">
        <v>0</v>
      </c>
      <c r="U454">
        <v>0</v>
      </c>
      <c r="V454">
        <f t="shared" si="21"/>
        <v>61.877250000000004</v>
      </c>
      <c r="W454">
        <f t="shared" si="22"/>
        <v>63.892749999999992</v>
      </c>
      <c r="X454">
        <f t="shared" si="23"/>
        <v>63.222749999999998</v>
      </c>
      <c r="Y454">
        <v>13</v>
      </c>
      <c r="Z454" s="2" t="s">
        <v>330</v>
      </c>
    </row>
    <row r="455" spans="1:26" x14ac:dyDescent="0.25">
      <c r="A455">
        <v>878</v>
      </c>
      <c r="B455">
        <v>53</v>
      </c>
      <c r="C455" t="s">
        <v>22</v>
      </c>
      <c r="D455" t="s">
        <v>328</v>
      </c>
      <c r="E455" t="s">
        <v>30</v>
      </c>
      <c r="F455" t="s">
        <v>439</v>
      </c>
      <c r="G455" t="str">
        <f>VLOOKUP(F455,Hospitals!E:H,4,FALSE)</f>
        <v>28.80025 , 76.14133</v>
      </c>
      <c r="H455" s="1">
        <v>45476</v>
      </c>
      <c r="I455" s="1">
        <v>45476</v>
      </c>
      <c r="J455">
        <v>82.802999999999997</v>
      </c>
      <c r="K455">
        <v>81.656999999999996</v>
      </c>
      <c r="L455">
        <v>78.977000000000004</v>
      </c>
      <c r="M455">
        <v>35.293999999999997</v>
      </c>
      <c r="N455">
        <v>43.478000000000002</v>
      </c>
      <c r="O455">
        <v>43.478000000000002</v>
      </c>
      <c r="P455">
        <v>35.293999999999997</v>
      </c>
      <c r="Q455">
        <v>43.478000000000002</v>
      </c>
      <c r="R455">
        <v>43.478000000000002</v>
      </c>
      <c r="S455">
        <v>0</v>
      </c>
      <c r="T455">
        <v>0</v>
      </c>
      <c r="U455">
        <v>0</v>
      </c>
      <c r="V455">
        <f t="shared" si="21"/>
        <v>38.347749999999998</v>
      </c>
      <c r="W455">
        <f t="shared" si="22"/>
        <v>42.15325</v>
      </c>
      <c r="X455">
        <f t="shared" si="23"/>
        <v>41.483250000000005</v>
      </c>
      <c r="Y455">
        <v>13</v>
      </c>
      <c r="Z455" s="2" t="s">
        <v>330</v>
      </c>
    </row>
    <row r="456" spans="1:26" x14ac:dyDescent="0.25">
      <c r="A456">
        <v>877</v>
      </c>
      <c r="B456">
        <v>53</v>
      </c>
      <c r="C456" t="s">
        <v>22</v>
      </c>
      <c r="D456" t="s">
        <v>328</v>
      </c>
      <c r="E456" t="s">
        <v>30</v>
      </c>
      <c r="F456" t="s">
        <v>439</v>
      </c>
      <c r="G456" t="str">
        <f>VLOOKUP(F456,Hospitals!E:H,4,FALSE)</f>
        <v>28.80025 , 76.14133</v>
      </c>
      <c r="H456" s="1">
        <v>45476</v>
      </c>
      <c r="I456" s="1">
        <v>45476</v>
      </c>
      <c r="J456">
        <v>82.802999999999997</v>
      </c>
      <c r="K456">
        <v>81.656999999999996</v>
      </c>
      <c r="L456">
        <v>78.977000000000004</v>
      </c>
      <c r="M456">
        <v>35.293999999999997</v>
      </c>
      <c r="N456">
        <v>43.478000000000002</v>
      </c>
      <c r="O456">
        <v>43.478000000000002</v>
      </c>
      <c r="P456">
        <v>35.293999999999997</v>
      </c>
      <c r="Q456">
        <v>43.478000000000002</v>
      </c>
      <c r="R456">
        <v>43.478000000000002</v>
      </c>
      <c r="S456">
        <v>0</v>
      </c>
      <c r="T456">
        <v>0</v>
      </c>
      <c r="U456">
        <v>0</v>
      </c>
      <c r="V456">
        <f t="shared" si="21"/>
        <v>38.347749999999998</v>
      </c>
      <c r="W456">
        <f t="shared" si="22"/>
        <v>42.15325</v>
      </c>
      <c r="X456">
        <f t="shared" si="23"/>
        <v>41.483250000000005</v>
      </c>
      <c r="Y456">
        <v>13</v>
      </c>
      <c r="Z456" s="2" t="s">
        <v>330</v>
      </c>
    </row>
    <row r="457" spans="1:26" x14ac:dyDescent="0.25">
      <c r="A457">
        <v>876</v>
      </c>
      <c r="B457">
        <v>53</v>
      </c>
      <c r="C457" t="s">
        <v>22</v>
      </c>
      <c r="D457" t="s">
        <v>328</v>
      </c>
      <c r="E457" t="s">
        <v>30</v>
      </c>
      <c r="F457" t="s">
        <v>439</v>
      </c>
      <c r="G457" t="str">
        <f>VLOOKUP(F457,Hospitals!E:H,4,FALSE)</f>
        <v>28.80025 , 76.14133</v>
      </c>
      <c r="H457" s="1">
        <v>45476</v>
      </c>
      <c r="I457" s="1">
        <v>45476</v>
      </c>
      <c r="J457">
        <v>82.802999999999997</v>
      </c>
      <c r="K457">
        <v>81.656999999999996</v>
      </c>
      <c r="L457">
        <v>78.977000000000004</v>
      </c>
      <c r="M457">
        <v>35.293999999999997</v>
      </c>
      <c r="N457">
        <v>43.478000000000002</v>
      </c>
      <c r="O457">
        <v>43.478000000000002</v>
      </c>
      <c r="P457">
        <v>35.293999999999997</v>
      </c>
      <c r="Q457">
        <v>43.478000000000002</v>
      </c>
      <c r="R457">
        <v>43.478000000000002</v>
      </c>
      <c r="S457">
        <v>0</v>
      </c>
      <c r="T457">
        <v>0</v>
      </c>
      <c r="U457">
        <v>0</v>
      </c>
      <c r="V457">
        <f t="shared" si="21"/>
        <v>38.347749999999998</v>
      </c>
      <c r="W457">
        <f t="shared" si="22"/>
        <v>42.15325</v>
      </c>
      <c r="X457">
        <f t="shared" si="23"/>
        <v>41.483250000000005</v>
      </c>
      <c r="Y457">
        <v>13</v>
      </c>
      <c r="Z457" s="2" t="s">
        <v>330</v>
      </c>
    </row>
    <row r="458" spans="1:26" x14ac:dyDescent="0.25">
      <c r="A458">
        <v>888</v>
      </c>
      <c r="B458">
        <v>53</v>
      </c>
      <c r="C458" t="s">
        <v>22</v>
      </c>
      <c r="D458" t="s">
        <v>328</v>
      </c>
      <c r="E458" t="s">
        <v>30</v>
      </c>
      <c r="F458" t="s">
        <v>439</v>
      </c>
      <c r="G458" t="str">
        <f>VLOOKUP(F458,Hospitals!E:H,4,FALSE)</f>
        <v>28.80025 , 76.14133</v>
      </c>
      <c r="H458" s="1">
        <v>45478</v>
      </c>
      <c r="I458" s="1">
        <v>45478</v>
      </c>
      <c r="J458">
        <v>70.700999999999993</v>
      </c>
      <c r="K458">
        <v>68.638999999999996</v>
      </c>
      <c r="L458">
        <v>66.477000000000004</v>
      </c>
      <c r="M458">
        <v>35.293999999999997</v>
      </c>
      <c r="N458">
        <v>43.478000000000002</v>
      </c>
      <c r="O458">
        <v>43.478000000000002</v>
      </c>
      <c r="P458">
        <v>35.293999999999997</v>
      </c>
      <c r="Q458">
        <v>43.478000000000002</v>
      </c>
      <c r="R458">
        <v>43.478000000000002</v>
      </c>
      <c r="S458">
        <v>0</v>
      </c>
      <c r="T458">
        <v>0</v>
      </c>
      <c r="U458">
        <v>0</v>
      </c>
      <c r="V458">
        <f t="shared" si="21"/>
        <v>35.322249999999997</v>
      </c>
      <c r="W458">
        <f t="shared" si="22"/>
        <v>38.89875</v>
      </c>
      <c r="X458">
        <f t="shared" si="23"/>
        <v>38.358250000000005</v>
      </c>
      <c r="Y458">
        <v>13</v>
      </c>
      <c r="Z458" s="2" t="s">
        <v>330</v>
      </c>
    </row>
    <row r="459" spans="1:26" x14ac:dyDescent="0.25">
      <c r="A459">
        <v>763</v>
      </c>
      <c r="B459">
        <v>531</v>
      </c>
      <c r="C459" t="s">
        <v>22</v>
      </c>
      <c r="D459" t="s">
        <v>440</v>
      </c>
      <c r="E459" t="s">
        <v>24</v>
      </c>
      <c r="F459" t="s">
        <v>441</v>
      </c>
      <c r="G459" t="str">
        <f>VLOOKUP(F459,Hospitals!E:H,4,FALSE)</f>
        <v>28.26219 , 76.57194</v>
      </c>
      <c r="H459" s="1">
        <v>45442</v>
      </c>
      <c r="I459" s="1">
        <v>45442</v>
      </c>
      <c r="J459">
        <v>36.942999999999998</v>
      </c>
      <c r="K459">
        <v>34.32</v>
      </c>
      <c r="L459">
        <v>32.954999999999998</v>
      </c>
      <c r="M459">
        <v>23.529</v>
      </c>
      <c r="N459">
        <v>21.739000000000001</v>
      </c>
      <c r="O459">
        <v>21.739000000000001</v>
      </c>
      <c r="P459">
        <v>23.529</v>
      </c>
      <c r="Q459">
        <v>21.739000000000001</v>
      </c>
      <c r="R459">
        <v>21.739000000000001</v>
      </c>
      <c r="S459">
        <v>20</v>
      </c>
      <c r="T459">
        <v>16.667000000000002</v>
      </c>
      <c r="U459">
        <v>0</v>
      </c>
      <c r="V459">
        <f t="shared" si="21"/>
        <v>26.000249999999998</v>
      </c>
      <c r="W459">
        <f t="shared" si="22"/>
        <v>23.616250000000001</v>
      </c>
      <c r="X459">
        <f t="shared" si="23"/>
        <v>19.108250000000002</v>
      </c>
      <c r="Y459">
        <v>13</v>
      </c>
      <c r="Z459" s="2" t="s">
        <v>442</v>
      </c>
    </row>
    <row r="460" spans="1:26" x14ac:dyDescent="0.25">
      <c r="A460">
        <v>765</v>
      </c>
      <c r="B460">
        <v>532</v>
      </c>
      <c r="C460" t="s">
        <v>22</v>
      </c>
      <c r="D460" t="s">
        <v>440</v>
      </c>
      <c r="E460" t="s">
        <v>24</v>
      </c>
      <c r="F460" t="s">
        <v>443</v>
      </c>
      <c r="G460" t="str">
        <f>VLOOKUP(F460,Hospitals!E:H,4,FALSE)</f>
        <v>28.90345 , 76.57194</v>
      </c>
      <c r="H460" s="1">
        <v>45442</v>
      </c>
      <c r="I460" s="1">
        <v>45442</v>
      </c>
      <c r="J460">
        <v>38.216999999999999</v>
      </c>
      <c r="K460">
        <v>35.503</v>
      </c>
      <c r="L460">
        <v>34.091000000000001</v>
      </c>
      <c r="M460">
        <v>17.646999999999998</v>
      </c>
      <c r="N460">
        <v>13.042999999999999</v>
      </c>
      <c r="O460">
        <v>13.042999999999999</v>
      </c>
      <c r="P460">
        <v>17.646999999999998</v>
      </c>
      <c r="Q460">
        <v>13.042999999999999</v>
      </c>
      <c r="R460">
        <v>13.042999999999999</v>
      </c>
      <c r="S460">
        <v>0</v>
      </c>
      <c r="T460">
        <v>0</v>
      </c>
      <c r="U460">
        <v>0</v>
      </c>
      <c r="V460">
        <f t="shared" si="21"/>
        <v>18.377749999999999</v>
      </c>
      <c r="W460">
        <f t="shared" si="22"/>
        <v>15.39725</v>
      </c>
      <c r="X460">
        <f t="shared" si="23"/>
        <v>15.04425</v>
      </c>
      <c r="Y460">
        <v>13</v>
      </c>
      <c r="Z460" s="2" t="s">
        <v>442</v>
      </c>
    </row>
    <row r="461" spans="1:26" x14ac:dyDescent="0.25">
      <c r="A461">
        <v>931</v>
      </c>
      <c r="B461">
        <v>533</v>
      </c>
      <c r="C461" t="s">
        <v>22</v>
      </c>
      <c r="D461" t="s">
        <v>440</v>
      </c>
      <c r="E461" t="s">
        <v>24</v>
      </c>
      <c r="F461" t="s">
        <v>444</v>
      </c>
      <c r="G461" t="str">
        <f>VLOOKUP(F461,Hospitals!E:H,4,FALSE)</f>
        <v>29.39095 , 76.9635</v>
      </c>
      <c r="H461" s="1">
        <v>45499</v>
      </c>
      <c r="I461" t="s">
        <v>35</v>
      </c>
      <c r="J461">
        <v>42.037999999999997</v>
      </c>
      <c r="K461">
        <v>39.052999999999997</v>
      </c>
      <c r="L461">
        <v>37.5</v>
      </c>
      <c r="M461">
        <v>52.941000000000003</v>
      </c>
      <c r="N461">
        <v>43.478000000000002</v>
      </c>
      <c r="O461">
        <v>43.478000000000002</v>
      </c>
      <c r="P461">
        <v>52.941000000000003</v>
      </c>
      <c r="Q461">
        <v>43.478000000000002</v>
      </c>
      <c r="R461">
        <v>43.478000000000002</v>
      </c>
      <c r="S461">
        <v>0</v>
      </c>
      <c r="T461">
        <v>0</v>
      </c>
      <c r="U461">
        <v>0</v>
      </c>
      <c r="V461">
        <f t="shared" si="21"/>
        <v>36.980000000000004</v>
      </c>
      <c r="W461">
        <f t="shared" si="22"/>
        <v>31.502250000000004</v>
      </c>
      <c r="X461">
        <f t="shared" si="23"/>
        <v>31.114000000000004</v>
      </c>
      <c r="Y461">
        <v>13</v>
      </c>
      <c r="Z461" s="2" t="s">
        <v>442</v>
      </c>
    </row>
    <row r="462" spans="1:26" x14ac:dyDescent="0.25">
      <c r="A462">
        <v>751</v>
      </c>
      <c r="B462">
        <v>533</v>
      </c>
      <c r="C462" t="s">
        <v>22</v>
      </c>
      <c r="D462" t="s">
        <v>440</v>
      </c>
      <c r="E462" t="s">
        <v>24</v>
      </c>
      <c r="F462" t="s">
        <v>444</v>
      </c>
      <c r="G462" t="str">
        <f>VLOOKUP(F462,Hospitals!E:H,4,FALSE)</f>
        <v>29.39095 , 76.9635</v>
      </c>
      <c r="H462" s="1">
        <v>45432</v>
      </c>
      <c r="I462" s="1">
        <v>45432</v>
      </c>
      <c r="J462">
        <v>42.037999999999997</v>
      </c>
      <c r="K462">
        <v>39.052999999999997</v>
      </c>
      <c r="L462">
        <v>37.5</v>
      </c>
      <c r="M462">
        <v>52.941000000000003</v>
      </c>
      <c r="N462">
        <v>43.478000000000002</v>
      </c>
      <c r="O462">
        <v>43.478000000000002</v>
      </c>
      <c r="P462">
        <v>52.941000000000003</v>
      </c>
      <c r="Q462">
        <v>43.478000000000002</v>
      </c>
      <c r="R462">
        <v>43.478000000000002</v>
      </c>
      <c r="S462">
        <v>0</v>
      </c>
      <c r="T462">
        <v>0</v>
      </c>
      <c r="U462">
        <v>0</v>
      </c>
      <c r="V462">
        <f t="shared" si="21"/>
        <v>36.980000000000004</v>
      </c>
      <c r="W462">
        <f t="shared" si="22"/>
        <v>31.502250000000004</v>
      </c>
      <c r="X462">
        <f t="shared" si="23"/>
        <v>31.114000000000004</v>
      </c>
      <c r="Y462">
        <v>13</v>
      </c>
      <c r="Z462" s="2" t="s">
        <v>442</v>
      </c>
    </row>
    <row r="463" spans="1:26" x14ac:dyDescent="0.25">
      <c r="A463">
        <v>756</v>
      </c>
      <c r="B463">
        <v>534</v>
      </c>
      <c r="C463" t="s">
        <v>22</v>
      </c>
      <c r="D463" t="s">
        <v>440</v>
      </c>
      <c r="E463" t="s">
        <v>24</v>
      </c>
      <c r="F463" t="s">
        <v>445</v>
      </c>
      <c r="G463" t="str">
        <f>VLOOKUP(F463,Hospitals!E:H,4,FALSE)</f>
        <v>28.26219 , 76.57194</v>
      </c>
      <c r="H463" s="1">
        <v>45433</v>
      </c>
      <c r="I463" s="1">
        <v>45441</v>
      </c>
      <c r="J463">
        <v>45.222999999999999</v>
      </c>
      <c r="K463">
        <v>43.786999999999999</v>
      </c>
      <c r="L463">
        <v>42.045000000000002</v>
      </c>
      <c r="M463">
        <v>70.587999999999994</v>
      </c>
      <c r="N463">
        <v>52.173999999999999</v>
      </c>
      <c r="O463">
        <v>52.173999999999999</v>
      </c>
      <c r="P463">
        <v>70.587999999999994</v>
      </c>
      <c r="Q463">
        <v>52.173999999999999</v>
      </c>
      <c r="R463">
        <v>52.173999999999999</v>
      </c>
      <c r="S463">
        <v>20</v>
      </c>
      <c r="T463">
        <v>8.3330000000000002</v>
      </c>
      <c r="U463">
        <v>0</v>
      </c>
      <c r="V463">
        <f t="shared" si="21"/>
        <v>51.59975</v>
      </c>
      <c r="W463">
        <f t="shared" si="22"/>
        <v>39.116999999999997</v>
      </c>
      <c r="X463">
        <f t="shared" si="23"/>
        <v>36.59825</v>
      </c>
      <c r="Y463">
        <v>13</v>
      </c>
      <c r="Z463" s="2" t="s">
        <v>442</v>
      </c>
    </row>
    <row r="464" spans="1:26" x14ac:dyDescent="0.25">
      <c r="A464">
        <v>715</v>
      </c>
      <c r="B464">
        <v>535</v>
      </c>
      <c r="C464" t="s">
        <v>22</v>
      </c>
      <c r="D464" t="s">
        <v>440</v>
      </c>
      <c r="E464" t="s">
        <v>62</v>
      </c>
      <c r="F464" t="s">
        <v>446</v>
      </c>
      <c r="G464" t="str">
        <f>VLOOKUP(F464,Hospitals!E:H,4,FALSE)</f>
        <v>28.26219 , 76.57194</v>
      </c>
      <c r="H464" s="1">
        <v>45429</v>
      </c>
      <c r="I464" s="1">
        <v>45429</v>
      </c>
      <c r="J464">
        <v>68.790000000000006</v>
      </c>
      <c r="K464">
        <v>66.272000000000006</v>
      </c>
      <c r="L464">
        <v>63.636000000000003</v>
      </c>
      <c r="M464">
        <v>88.234999999999999</v>
      </c>
      <c r="N464">
        <v>69.564999999999998</v>
      </c>
      <c r="O464">
        <v>69.564999999999998</v>
      </c>
      <c r="P464">
        <v>88.234999999999999</v>
      </c>
      <c r="Q464">
        <v>69.564999999999998</v>
      </c>
      <c r="R464">
        <v>69.564999999999998</v>
      </c>
      <c r="S464">
        <v>60</v>
      </c>
      <c r="T464">
        <v>41.667000000000002</v>
      </c>
      <c r="U464">
        <v>21.428999999999998</v>
      </c>
      <c r="V464">
        <f t="shared" si="21"/>
        <v>76.314999999999998</v>
      </c>
      <c r="W464">
        <f t="shared" si="22"/>
        <v>61.767249999999997</v>
      </c>
      <c r="X464">
        <f t="shared" si="23"/>
        <v>56.048749999999998</v>
      </c>
      <c r="Y464">
        <v>13</v>
      </c>
      <c r="Z464" s="2" t="s">
        <v>442</v>
      </c>
    </row>
    <row r="465" spans="1:26" x14ac:dyDescent="0.25">
      <c r="A465">
        <v>762</v>
      </c>
      <c r="B465">
        <v>536</v>
      </c>
      <c r="C465" t="s">
        <v>22</v>
      </c>
      <c r="D465" t="s">
        <v>440</v>
      </c>
      <c r="E465" t="s">
        <v>27</v>
      </c>
      <c r="F465" t="s">
        <v>447</v>
      </c>
      <c r="G465" t="str">
        <f>VLOOKUP(F465,Hospitals!E:H,4,FALSE)</f>
        <v>28.26219 , 76.57194</v>
      </c>
      <c r="H465" s="1">
        <v>45441</v>
      </c>
      <c r="I465" s="1">
        <v>45441</v>
      </c>
      <c r="J465">
        <v>24.204000000000001</v>
      </c>
      <c r="K465">
        <v>22.484999999999999</v>
      </c>
      <c r="L465">
        <v>21.591000000000001</v>
      </c>
      <c r="M465">
        <v>23.529</v>
      </c>
      <c r="N465">
        <v>17.390999999999998</v>
      </c>
      <c r="O465">
        <v>17.390999999999998</v>
      </c>
      <c r="P465">
        <v>23.529</v>
      </c>
      <c r="Q465">
        <v>17.390999999999998</v>
      </c>
      <c r="R465">
        <v>17.390999999999998</v>
      </c>
      <c r="S465">
        <v>0</v>
      </c>
      <c r="T465">
        <v>0</v>
      </c>
      <c r="U465">
        <v>0</v>
      </c>
      <c r="V465">
        <f t="shared" si="21"/>
        <v>17.8155</v>
      </c>
      <c r="W465">
        <f t="shared" si="22"/>
        <v>14.316749999999999</v>
      </c>
      <c r="X465">
        <f t="shared" si="23"/>
        <v>14.093249999999999</v>
      </c>
      <c r="Y465">
        <v>13</v>
      </c>
      <c r="Z465" s="2" t="s">
        <v>442</v>
      </c>
    </row>
    <row r="466" spans="1:26" x14ac:dyDescent="0.25">
      <c r="A466">
        <v>755</v>
      </c>
      <c r="B466">
        <v>537</v>
      </c>
      <c r="C466" t="s">
        <v>22</v>
      </c>
      <c r="D466" t="s">
        <v>440</v>
      </c>
      <c r="E466" t="s">
        <v>27</v>
      </c>
      <c r="F466" t="s">
        <v>448</v>
      </c>
      <c r="G466" t="str">
        <f>VLOOKUP(F466,Hospitals!E:H,4,FALSE)</f>
        <v>25.46408 , 81.81697</v>
      </c>
      <c r="H466" s="1">
        <v>45432</v>
      </c>
      <c r="I466" s="1">
        <v>45432</v>
      </c>
      <c r="J466">
        <v>42.674999999999997</v>
      </c>
      <c r="K466">
        <v>40.828000000000003</v>
      </c>
      <c r="L466">
        <v>39.204999999999998</v>
      </c>
      <c r="M466">
        <v>35.293999999999997</v>
      </c>
      <c r="N466">
        <v>30.434999999999999</v>
      </c>
      <c r="O466">
        <v>30.434999999999999</v>
      </c>
      <c r="P466">
        <v>35.293999999999997</v>
      </c>
      <c r="Q466">
        <v>30.434999999999999</v>
      </c>
      <c r="R466">
        <v>30.434999999999999</v>
      </c>
      <c r="S466">
        <v>0</v>
      </c>
      <c r="T466">
        <v>0</v>
      </c>
      <c r="U466">
        <v>0</v>
      </c>
      <c r="V466">
        <f t="shared" si="21"/>
        <v>28.315749999999998</v>
      </c>
      <c r="W466">
        <f t="shared" si="22"/>
        <v>25.424500000000002</v>
      </c>
      <c r="X466">
        <f t="shared" si="23"/>
        <v>25.018750000000001</v>
      </c>
      <c r="Y466">
        <v>13</v>
      </c>
      <c r="Z466" s="2" t="s">
        <v>442</v>
      </c>
    </row>
    <row r="467" spans="1:26" x14ac:dyDescent="0.25">
      <c r="A467">
        <v>775</v>
      </c>
      <c r="B467">
        <v>538</v>
      </c>
      <c r="C467" t="s">
        <v>22</v>
      </c>
      <c r="D467" t="s">
        <v>440</v>
      </c>
      <c r="E467" t="s">
        <v>27</v>
      </c>
      <c r="F467" t="s">
        <v>449</v>
      </c>
      <c r="G467" t="str">
        <f>VLOOKUP(F467,Hospitals!E:H,4,FALSE)</f>
        <v>28.21168 , 76.52569</v>
      </c>
      <c r="H467" s="1">
        <v>45442</v>
      </c>
      <c r="I467" s="1">
        <v>45442</v>
      </c>
      <c r="J467">
        <v>31.21</v>
      </c>
      <c r="K467">
        <v>28.994</v>
      </c>
      <c r="L467">
        <v>27.841000000000001</v>
      </c>
      <c r="M467">
        <v>29.411999999999999</v>
      </c>
      <c r="N467">
        <v>21.739000000000001</v>
      </c>
      <c r="O467">
        <v>21.739000000000001</v>
      </c>
      <c r="P467">
        <v>29.411999999999999</v>
      </c>
      <c r="Q467">
        <v>21.739000000000001</v>
      </c>
      <c r="R467">
        <v>21.739000000000001</v>
      </c>
      <c r="S467">
        <v>0</v>
      </c>
      <c r="T467">
        <v>0</v>
      </c>
      <c r="U467">
        <v>0</v>
      </c>
      <c r="V467">
        <f t="shared" si="21"/>
        <v>22.508499999999998</v>
      </c>
      <c r="W467">
        <f t="shared" si="22"/>
        <v>18.118000000000002</v>
      </c>
      <c r="X467">
        <f t="shared" si="23"/>
        <v>17.829750000000001</v>
      </c>
      <c r="Y467">
        <v>13</v>
      </c>
      <c r="Z467" s="2" t="s">
        <v>442</v>
      </c>
    </row>
    <row r="468" spans="1:26" x14ac:dyDescent="0.25">
      <c r="A468">
        <v>752</v>
      </c>
      <c r="B468">
        <v>539</v>
      </c>
      <c r="C468" t="s">
        <v>22</v>
      </c>
      <c r="D468" t="s">
        <v>440</v>
      </c>
      <c r="E468" t="s">
        <v>27</v>
      </c>
      <c r="F468" t="s">
        <v>450</v>
      </c>
      <c r="G468" t="str">
        <f>VLOOKUP(F468,Hospitals!E:H,4,FALSE)</f>
        <v>28.27544 , 76.42201</v>
      </c>
      <c r="H468" s="1">
        <v>45441</v>
      </c>
      <c r="I468" s="1">
        <v>45441</v>
      </c>
      <c r="J468">
        <v>28.661999999999999</v>
      </c>
      <c r="K468">
        <v>26.626999999999999</v>
      </c>
      <c r="L468">
        <v>25.568000000000001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f t="shared" si="21"/>
        <v>7.1654999999999998</v>
      </c>
      <c r="W468">
        <f t="shared" si="22"/>
        <v>6.6567499999999997</v>
      </c>
      <c r="X468">
        <f t="shared" si="23"/>
        <v>6.3920000000000003</v>
      </c>
      <c r="Y468">
        <v>13</v>
      </c>
      <c r="Z468" s="2" t="s">
        <v>442</v>
      </c>
    </row>
    <row r="469" spans="1:26" x14ac:dyDescent="0.25">
      <c r="A469">
        <v>806</v>
      </c>
      <c r="B469">
        <v>54</v>
      </c>
      <c r="C469" t="s">
        <v>22</v>
      </c>
      <c r="D469" t="s">
        <v>328</v>
      </c>
      <c r="E469" t="s">
        <v>30</v>
      </c>
      <c r="F469" t="s">
        <v>451</v>
      </c>
      <c r="G469" t="str">
        <f>VLOOKUP(F469,Hospitals!E:H,4,FALSE)</f>
        <v>28.79552 , 76.15806</v>
      </c>
      <c r="H469" s="1">
        <v>45474</v>
      </c>
      <c r="I469" s="1">
        <v>45474</v>
      </c>
      <c r="J469">
        <v>89.808999999999997</v>
      </c>
      <c r="K469">
        <v>88.165999999999997</v>
      </c>
      <c r="L469">
        <v>87.5</v>
      </c>
      <c r="M469">
        <v>94.117999999999995</v>
      </c>
      <c r="N469">
        <v>91.304000000000002</v>
      </c>
      <c r="O469">
        <v>91.304000000000002</v>
      </c>
      <c r="P469">
        <v>94.117999999999995</v>
      </c>
      <c r="Q469">
        <v>91.304000000000002</v>
      </c>
      <c r="R469">
        <v>91.304000000000002</v>
      </c>
      <c r="S469">
        <v>60</v>
      </c>
      <c r="T469">
        <v>41.667000000000002</v>
      </c>
      <c r="U469">
        <v>14.286</v>
      </c>
      <c r="V469">
        <f t="shared" si="21"/>
        <v>84.51124999999999</v>
      </c>
      <c r="W469">
        <f t="shared" si="22"/>
        <v>78.110250000000008</v>
      </c>
      <c r="X469">
        <f t="shared" si="23"/>
        <v>71.098500000000001</v>
      </c>
      <c r="Y469">
        <v>13</v>
      </c>
      <c r="Z469" s="2" t="s">
        <v>330</v>
      </c>
    </row>
    <row r="470" spans="1:26" x14ac:dyDescent="0.25">
      <c r="A470">
        <v>773</v>
      </c>
      <c r="B470">
        <v>540</v>
      </c>
      <c r="C470" t="s">
        <v>22</v>
      </c>
      <c r="D470" t="s">
        <v>440</v>
      </c>
      <c r="E470" t="s">
        <v>27</v>
      </c>
      <c r="F470" t="s">
        <v>452</v>
      </c>
      <c r="G470" t="str">
        <f>VLOOKUP(F470,Hospitals!E:H,4,FALSE)</f>
        <v>28.20585 , 76.82717</v>
      </c>
      <c r="H470" s="1">
        <v>45441</v>
      </c>
      <c r="I470" s="1">
        <v>45441</v>
      </c>
      <c r="J470">
        <v>29.936</v>
      </c>
      <c r="K470">
        <v>27.811</v>
      </c>
      <c r="L470">
        <v>26.704999999999998</v>
      </c>
      <c r="M470">
        <v>17.646999999999998</v>
      </c>
      <c r="N470">
        <v>13.042999999999999</v>
      </c>
      <c r="O470">
        <v>13.042999999999999</v>
      </c>
      <c r="P470">
        <v>17.646999999999998</v>
      </c>
      <c r="Q470">
        <v>13.042999999999999</v>
      </c>
      <c r="R470">
        <v>13.042999999999999</v>
      </c>
      <c r="S470">
        <v>0</v>
      </c>
      <c r="T470">
        <v>0</v>
      </c>
      <c r="U470">
        <v>0</v>
      </c>
      <c r="V470">
        <f t="shared" si="21"/>
        <v>16.307499999999997</v>
      </c>
      <c r="W470">
        <f t="shared" si="22"/>
        <v>13.47425</v>
      </c>
      <c r="X470">
        <f t="shared" si="23"/>
        <v>13.197749999999999</v>
      </c>
      <c r="Y470">
        <v>13</v>
      </c>
      <c r="Z470" s="2" t="s">
        <v>442</v>
      </c>
    </row>
    <row r="471" spans="1:26" x14ac:dyDescent="0.25">
      <c r="A471">
        <v>477</v>
      </c>
      <c r="B471">
        <v>541</v>
      </c>
      <c r="C471" t="s">
        <v>22</v>
      </c>
      <c r="D471" t="s">
        <v>453</v>
      </c>
      <c r="E471" t="s">
        <v>24</v>
      </c>
      <c r="F471" t="s">
        <v>454</v>
      </c>
      <c r="G471" t="str">
        <f>VLOOKUP(F471,Hospitals!E:H,4,FALSE)</f>
        <v>29.54955 , 75.06045</v>
      </c>
      <c r="H471" s="1">
        <v>45384</v>
      </c>
      <c r="I471" s="1">
        <v>45384</v>
      </c>
      <c r="J471">
        <v>62.42</v>
      </c>
      <c r="K471">
        <v>59.171999999999997</v>
      </c>
      <c r="L471">
        <v>56.817999999999998</v>
      </c>
      <c r="M471">
        <v>64.706000000000003</v>
      </c>
      <c r="N471">
        <v>47.826000000000001</v>
      </c>
      <c r="O471">
        <v>47.826000000000001</v>
      </c>
      <c r="P471">
        <v>64.706000000000003</v>
      </c>
      <c r="Q471">
        <v>47.826000000000001</v>
      </c>
      <c r="R471">
        <v>47.826000000000001</v>
      </c>
      <c r="S471">
        <v>0</v>
      </c>
      <c r="T471">
        <v>0</v>
      </c>
      <c r="U471">
        <v>0</v>
      </c>
      <c r="V471">
        <f t="shared" si="21"/>
        <v>47.957999999999998</v>
      </c>
      <c r="W471">
        <f t="shared" si="22"/>
        <v>38.705999999999996</v>
      </c>
      <c r="X471">
        <f t="shared" si="23"/>
        <v>38.1175</v>
      </c>
      <c r="Y471">
        <v>13</v>
      </c>
      <c r="Z471" s="2" t="s">
        <v>455</v>
      </c>
    </row>
    <row r="472" spans="1:26" x14ac:dyDescent="0.25">
      <c r="A472">
        <v>418</v>
      </c>
      <c r="B472">
        <v>542</v>
      </c>
      <c r="C472" t="s">
        <v>22</v>
      </c>
      <c r="D472" t="s">
        <v>453</v>
      </c>
      <c r="E472" t="s">
        <v>24</v>
      </c>
      <c r="F472" t="s">
        <v>456</v>
      </c>
      <c r="G472" t="str">
        <f>VLOOKUP(F472,Hospitals!E:H,4,FALSE)</f>
        <v>29.6826 , 75.571</v>
      </c>
      <c r="H472" s="1">
        <v>45378</v>
      </c>
      <c r="I472" s="1">
        <v>45378</v>
      </c>
      <c r="J472">
        <v>65.605000000000004</v>
      </c>
      <c r="K472">
        <v>62.13</v>
      </c>
      <c r="L472">
        <v>60.795000000000002</v>
      </c>
      <c r="M472">
        <v>41.176000000000002</v>
      </c>
      <c r="N472">
        <v>30.434999999999999</v>
      </c>
      <c r="O472">
        <v>30.434999999999999</v>
      </c>
      <c r="P472">
        <v>41.176000000000002</v>
      </c>
      <c r="Q472">
        <v>30.434999999999999</v>
      </c>
      <c r="R472">
        <v>30.434999999999999</v>
      </c>
      <c r="S472">
        <v>10</v>
      </c>
      <c r="T472">
        <v>8.3330000000000002</v>
      </c>
      <c r="U472">
        <v>0</v>
      </c>
      <c r="V472">
        <f t="shared" si="21"/>
        <v>39.489249999999998</v>
      </c>
      <c r="W472">
        <f t="shared" si="22"/>
        <v>32.83325</v>
      </c>
      <c r="X472">
        <f t="shared" si="23"/>
        <v>30.416250000000002</v>
      </c>
      <c r="Y472">
        <v>13</v>
      </c>
      <c r="Z472" s="2" t="s">
        <v>455</v>
      </c>
    </row>
    <row r="473" spans="1:26" x14ac:dyDescent="0.25">
      <c r="A473">
        <v>846</v>
      </c>
      <c r="B473">
        <v>543</v>
      </c>
      <c r="C473" t="s">
        <v>22</v>
      </c>
      <c r="D473" t="s">
        <v>453</v>
      </c>
      <c r="E473" t="s">
        <v>24</v>
      </c>
      <c r="F473" t="s">
        <v>457</v>
      </c>
      <c r="G473" t="str">
        <f>VLOOKUP(F473,Hospitals!E:H,4,FALSE)</f>
        <v>29.42572 , 74.92699</v>
      </c>
      <c r="H473" s="1">
        <v>45468</v>
      </c>
      <c r="I473" s="1">
        <v>45468</v>
      </c>
      <c r="J473">
        <v>47.771000000000001</v>
      </c>
      <c r="K473">
        <v>44.378999999999998</v>
      </c>
      <c r="L473">
        <v>42.613999999999997</v>
      </c>
      <c r="M473">
        <v>35.293999999999997</v>
      </c>
      <c r="N473">
        <v>26.087</v>
      </c>
      <c r="O473">
        <v>26.087</v>
      </c>
      <c r="P473">
        <v>35.293999999999997</v>
      </c>
      <c r="Q473">
        <v>26.087</v>
      </c>
      <c r="R473">
        <v>26.087</v>
      </c>
      <c r="S473">
        <v>10</v>
      </c>
      <c r="T473">
        <v>8.3330000000000002</v>
      </c>
      <c r="U473">
        <v>0</v>
      </c>
      <c r="V473">
        <f t="shared" si="21"/>
        <v>32.089749999999995</v>
      </c>
      <c r="W473">
        <f t="shared" si="22"/>
        <v>26.221499999999999</v>
      </c>
      <c r="X473">
        <f t="shared" si="23"/>
        <v>23.696999999999999</v>
      </c>
      <c r="Y473">
        <v>13</v>
      </c>
      <c r="Z473" s="2" t="s">
        <v>455</v>
      </c>
    </row>
    <row r="474" spans="1:26" x14ac:dyDescent="0.25">
      <c r="A474">
        <v>465</v>
      </c>
      <c r="B474">
        <v>544</v>
      </c>
      <c r="C474" t="s">
        <v>22</v>
      </c>
      <c r="D474" t="s">
        <v>453</v>
      </c>
      <c r="E474" t="s">
        <v>24</v>
      </c>
      <c r="F474" t="s">
        <v>458</v>
      </c>
      <c r="G474" t="str">
        <f>VLOOKUP(F474,Hospitals!E:H,4,FALSE)</f>
        <v>28.99308 , 77.01507</v>
      </c>
      <c r="H474" s="1">
        <v>45375</v>
      </c>
      <c r="I474" s="1">
        <v>45375</v>
      </c>
      <c r="J474">
        <v>5.7320000000000002</v>
      </c>
      <c r="K474">
        <v>5.9169999999999998</v>
      </c>
      <c r="L474">
        <v>5.6820000000000004</v>
      </c>
      <c r="M474">
        <v>5.8819999999999997</v>
      </c>
      <c r="N474">
        <v>4.3479999999999999</v>
      </c>
      <c r="O474">
        <v>4.3479999999999999</v>
      </c>
      <c r="P474">
        <v>5.8819999999999997</v>
      </c>
      <c r="Q474">
        <v>4.3479999999999999</v>
      </c>
      <c r="R474">
        <v>4.3479999999999999</v>
      </c>
      <c r="S474">
        <v>0</v>
      </c>
      <c r="T474">
        <v>0</v>
      </c>
      <c r="U474">
        <v>0</v>
      </c>
      <c r="V474">
        <f t="shared" si="21"/>
        <v>4.3740000000000006</v>
      </c>
      <c r="W474">
        <f t="shared" si="22"/>
        <v>3.6532499999999999</v>
      </c>
      <c r="X474">
        <f t="shared" si="23"/>
        <v>3.5945</v>
      </c>
      <c r="Y474">
        <v>13</v>
      </c>
      <c r="Z474" s="2" t="s">
        <v>455</v>
      </c>
    </row>
    <row r="475" spans="1:26" x14ac:dyDescent="0.25">
      <c r="A475">
        <v>480</v>
      </c>
      <c r="B475">
        <v>544</v>
      </c>
      <c r="C475" t="s">
        <v>22</v>
      </c>
      <c r="D475" t="s">
        <v>453</v>
      </c>
      <c r="E475" t="s">
        <v>24</v>
      </c>
      <c r="F475" t="s">
        <v>458</v>
      </c>
      <c r="G475" t="str">
        <f>VLOOKUP(F475,Hospitals!E:H,4,FALSE)</f>
        <v>28.99308 , 77.01507</v>
      </c>
      <c r="H475" s="1">
        <v>45375</v>
      </c>
      <c r="I475" s="1">
        <v>45375</v>
      </c>
      <c r="J475">
        <v>5.7320000000000002</v>
      </c>
      <c r="K475">
        <v>5.9169999999999998</v>
      </c>
      <c r="L475">
        <v>5.6820000000000004</v>
      </c>
      <c r="M475">
        <v>5.8819999999999997</v>
      </c>
      <c r="N475">
        <v>4.3479999999999999</v>
      </c>
      <c r="O475">
        <v>4.3479999999999999</v>
      </c>
      <c r="P475">
        <v>5.8819999999999997</v>
      </c>
      <c r="Q475">
        <v>4.3479999999999999</v>
      </c>
      <c r="R475">
        <v>4.3479999999999999</v>
      </c>
      <c r="S475">
        <v>0</v>
      </c>
      <c r="T475">
        <v>0</v>
      </c>
      <c r="U475">
        <v>0</v>
      </c>
      <c r="V475">
        <f t="shared" si="21"/>
        <v>4.3740000000000006</v>
      </c>
      <c r="W475">
        <f t="shared" si="22"/>
        <v>3.6532499999999999</v>
      </c>
      <c r="X475">
        <f t="shared" si="23"/>
        <v>3.5945</v>
      </c>
      <c r="Y475">
        <v>13</v>
      </c>
      <c r="Z475" s="2" t="s">
        <v>455</v>
      </c>
    </row>
    <row r="476" spans="1:26" x14ac:dyDescent="0.25">
      <c r="A476">
        <v>838</v>
      </c>
      <c r="B476">
        <v>545</v>
      </c>
      <c r="C476" t="s">
        <v>22</v>
      </c>
      <c r="D476" t="s">
        <v>453</v>
      </c>
      <c r="E476" t="s">
        <v>24</v>
      </c>
      <c r="F476" t="s">
        <v>459</v>
      </c>
      <c r="G476" t="str">
        <f>VLOOKUP(F476,Hospitals!E:H,4,FALSE)</f>
        <v>29.3739 , 75.1195</v>
      </c>
      <c r="H476" s="1">
        <v>45468</v>
      </c>
      <c r="I476" s="1">
        <v>45468</v>
      </c>
      <c r="J476">
        <v>70.063999999999993</v>
      </c>
      <c r="K476">
        <v>66.272000000000006</v>
      </c>
      <c r="L476">
        <v>63.636000000000003</v>
      </c>
      <c r="M476">
        <v>82.352999999999994</v>
      </c>
      <c r="N476">
        <v>65.216999999999999</v>
      </c>
      <c r="O476">
        <v>65.216999999999999</v>
      </c>
      <c r="P476">
        <v>82.352999999999994</v>
      </c>
      <c r="Q476">
        <v>65.216999999999999</v>
      </c>
      <c r="R476">
        <v>65.216999999999999</v>
      </c>
      <c r="S476">
        <v>10</v>
      </c>
      <c r="T476">
        <v>8.3330000000000002</v>
      </c>
      <c r="U476">
        <v>0</v>
      </c>
      <c r="V476">
        <f t="shared" si="21"/>
        <v>61.192499999999995</v>
      </c>
      <c r="W476">
        <f t="shared" si="22"/>
        <v>51.259750000000004</v>
      </c>
      <c r="X476">
        <f t="shared" si="23"/>
        <v>48.517499999999998</v>
      </c>
      <c r="Y476">
        <v>13</v>
      </c>
      <c r="Z476" s="2" t="s">
        <v>455</v>
      </c>
    </row>
    <row r="477" spans="1:26" x14ac:dyDescent="0.25">
      <c r="A477">
        <v>419</v>
      </c>
      <c r="B477">
        <v>546</v>
      </c>
      <c r="C477" t="s">
        <v>22</v>
      </c>
      <c r="D477" t="s">
        <v>453</v>
      </c>
      <c r="E477" t="s">
        <v>24</v>
      </c>
      <c r="F477" t="s">
        <v>460</v>
      </c>
      <c r="G477" t="str">
        <f>VLOOKUP(F477,Hospitals!E:H,4,FALSE)</f>
        <v>29.54455 , 75.06314</v>
      </c>
      <c r="H477" s="1">
        <v>45373</v>
      </c>
      <c r="I477" s="1">
        <v>45373</v>
      </c>
      <c r="J477">
        <v>55.414000000000001</v>
      </c>
      <c r="K477">
        <v>51.478999999999999</v>
      </c>
      <c r="L477">
        <v>49.432000000000002</v>
      </c>
      <c r="M477">
        <v>23.529</v>
      </c>
      <c r="N477">
        <v>17.390999999999998</v>
      </c>
      <c r="O477">
        <v>17.390999999999998</v>
      </c>
      <c r="P477">
        <v>23.529</v>
      </c>
      <c r="Q477">
        <v>17.390999999999998</v>
      </c>
      <c r="R477">
        <v>17.390999999999998</v>
      </c>
      <c r="S477">
        <v>10</v>
      </c>
      <c r="T477">
        <v>8.3330000000000002</v>
      </c>
      <c r="U477">
        <v>0</v>
      </c>
      <c r="V477">
        <f t="shared" si="21"/>
        <v>28.117999999999999</v>
      </c>
      <c r="W477">
        <f t="shared" si="22"/>
        <v>23.648499999999999</v>
      </c>
      <c r="X477">
        <f t="shared" si="23"/>
        <v>21.0535</v>
      </c>
      <c r="Y477">
        <v>13</v>
      </c>
      <c r="Z477" s="2" t="s">
        <v>455</v>
      </c>
    </row>
    <row r="478" spans="1:26" x14ac:dyDescent="0.25">
      <c r="A478">
        <v>862</v>
      </c>
      <c r="B478">
        <v>547</v>
      </c>
      <c r="C478" t="s">
        <v>22</v>
      </c>
      <c r="D478" t="s">
        <v>453</v>
      </c>
      <c r="E478" t="s">
        <v>62</v>
      </c>
      <c r="F478" t="s">
        <v>461</v>
      </c>
      <c r="G478" t="str">
        <f>VLOOKUP(F478,Hospitals!E:H,4,FALSE)</f>
        <v>29.5338 , 75.03872</v>
      </c>
      <c r="H478" s="1">
        <v>45472</v>
      </c>
      <c r="I478" s="1">
        <v>45472</v>
      </c>
      <c r="J478">
        <v>34.395000000000003</v>
      </c>
      <c r="K478">
        <v>31.952999999999999</v>
      </c>
      <c r="L478">
        <v>31.25</v>
      </c>
      <c r="M478">
        <v>17.646999999999998</v>
      </c>
      <c r="N478">
        <v>13.042999999999999</v>
      </c>
      <c r="O478">
        <v>13.042999999999999</v>
      </c>
      <c r="P478">
        <v>17.646999999999998</v>
      </c>
      <c r="Q478">
        <v>13.042999999999999</v>
      </c>
      <c r="R478">
        <v>13.042999999999999</v>
      </c>
      <c r="S478">
        <v>50</v>
      </c>
      <c r="T478">
        <v>33.332999999999998</v>
      </c>
      <c r="U478">
        <v>7.1429999999999998</v>
      </c>
      <c r="V478">
        <f t="shared" si="21"/>
        <v>29.922249999999998</v>
      </c>
      <c r="W478">
        <f t="shared" si="22"/>
        <v>22.842999999999996</v>
      </c>
      <c r="X478">
        <f t="shared" si="23"/>
        <v>16.11975</v>
      </c>
      <c r="Y478">
        <v>13</v>
      </c>
      <c r="Z478" s="2" t="s">
        <v>455</v>
      </c>
    </row>
    <row r="479" spans="1:26" x14ac:dyDescent="0.25">
      <c r="A479">
        <v>864</v>
      </c>
      <c r="B479">
        <v>547</v>
      </c>
      <c r="C479" t="s">
        <v>22</v>
      </c>
      <c r="D479" t="s">
        <v>453</v>
      </c>
      <c r="E479" t="s">
        <v>62</v>
      </c>
      <c r="F479" t="s">
        <v>461</v>
      </c>
      <c r="G479" t="str">
        <f>VLOOKUP(F479,Hospitals!E:H,4,FALSE)</f>
        <v>29.5338 , 75.03872</v>
      </c>
      <c r="H479" s="1">
        <v>45474</v>
      </c>
      <c r="I479" s="1">
        <v>45474</v>
      </c>
      <c r="J479">
        <v>33.758000000000003</v>
      </c>
      <c r="K479">
        <v>31.361000000000001</v>
      </c>
      <c r="L479">
        <v>30.114000000000001</v>
      </c>
      <c r="M479">
        <v>17.646999999999998</v>
      </c>
      <c r="N479">
        <v>13.042999999999999</v>
      </c>
      <c r="O479">
        <v>13.042999999999999</v>
      </c>
      <c r="P479">
        <v>17.646999999999998</v>
      </c>
      <c r="Q479">
        <v>13.042999999999999</v>
      </c>
      <c r="R479">
        <v>13.042999999999999</v>
      </c>
      <c r="S479">
        <v>0</v>
      </c>
      <c r="T479">
        <v>0</v>
      </c>
      <c r="U479">
        <v>0</v>
      </c>
      <c r="V479">
        <f t="shared" si="21"/>
        <v>17.262999999999998</v>
      </c>
      <c r="W479">
        <f t="shared" si="22"/>
        <v>14.361749999999999</v>
      </c>
      <c r="X479">
        <f t="shared" si="23"/>
        <v>14.049999999999999</v>
      </c>
      <c r="Y479">
        <v>13</v>
      </c>
      <c r="Z479" s="2" t="s">
        <v>455</v>
      </c>
    </row>
    <row r="480" spans="1:26" x14ac:dyDescent="0.25">
      <c r="A480">
        <v>840</v>
      </c>
      <c r="B480">
        <v>547</v>
      </c>
      <c r="C480" t="s">
        <v>22</v>
      </c>
      <c r="D480" t="s">
        <v>453</v>
      </c>
      <c r="E480" t="s">
        <v>62</v>
      </c>
      <c r="F480" t="s">
        <v>461</v>
      </c>
      <c r="G480" t="str">
        <f>VLOOKUP(F480,Hospitals!E:H,4,FALSE)</f>
        <v>29.5338 , 75.03872</v>
      </c>
      <c r="H480" s="1">
        <v>45467</v>
      </c>
      <c r="I480" s="1">
        <v>45472</v>
      </c>
      <c r="J480">
        <v>34.395000000000003</v>
      </c>
      <c r="K480">
        <v>31.952999999999999</v>
      </c>
      <c r="L480">
        <v>31.25</v>
      </c>
      <c r="M480">
        <v>17.646999999999998</v>
      </c>
      <c r="N480">
        <v>13.042999999999999</v>
      </c>
      <c r="O480">
        <v>13.042999999999999</v>
      </c>
      <c r="P480">
        <v>17.646999999999998</v>
      </c>
      <c r="Q480">
        <v>13.042999999999999</v>
      </c>
      <c r="R480">
        <v>13.042999999999999</v>
      </c>
      <c r="S480">
        <v>50</v>
      </c>
      <c r="T480">
        <v>33.332999999999998</v>
      </c>
      <c r="U480">
        <v>7.1429999999999998</v>
      </c>
      <c r="V480">
        <f t="shared" si="21"/>
        <v>29.922249999999998</v>
      </c>
      <c r="W480">
        <f t="shared" si="22"/>
        <v>22.842999999999996</v>
      </c>
      <c r="X480">
        <f t="shared" si="23"/>
        <v>16.11975</v>
      </c>
      <c r="Y480">
        <v>13</v>
      </c>
      <c r="Z480" s="2" t="s">
        <v>455</v>
      </c>
    </row>
    <row r="481" spans="1:26" x14ac:dyDescent="0.25">
      <c r="A481">
        <v>416</v>
      </c>
      <c r="B481">
        <v>547</v>
      </c>
      <c r="C481" t="s">
        <v>22</v>
      </c>
      <c r="D481" t="s">
        <v>453</v>
      </c>
      <c r="E481" t="s">
        <v>62</v>
      </c>
      <c r="F481" t="s">
        <v>461</v>
      </c>
      <c r="G481" t="str">
        <f>VLOOKUP(F481,Hospitals!E:H,4,FALSE)</f>
        <v>29.5338 , 75.03872</v>
      </c>
      <c r="H481" s="1">
        <v>45384</v>
      </c>
      <c r="I481" s="1">
        <v>45472</v>
      </c>
      <c r="J481">
        <v>34.395000000000003</v>
      </c>
      <c r="K481">
        <v>31.952999999999999</v>
      </c>
      <c r="L481">
        <v>31.25</v>
      </c>
      <c r="M481">
        <v>17.646999999999998</v>
      </c>
      <c r="N481">
        <v>13.042999999999999</v>
      </c>
      <c r="O481">
        <v>13.042999999999999</v>
      </c>
      <c r="P481">
        <v>17.646999999999998</v>
      </c>
      <c r="Q481">
        <v>13.042999999999999</v>
      </c>
      <c r="R481">
        <v>13.042999999999999</v>
      </c>
      <c r="S481">
        <v>50</v>
      </c>
      <c r="T481">
        <v>33.332999999999998</v>
      </c>
      <c r="U481">
        <v>7.1429999999999998</v>
      </c>
      <c r="V481">
        <f t="shared" si="21"/>
        <v>29.922249999999998</v>
      </c>
      <c r="W481">
        <f t="shared" si="22"/>
        <v>22.842999999999996</v>
      </c>
      <c r="X481">
        <f t="shared" si="23"/>
        <v>16.11975</v>
      </c>
      <c r="Y481">
        <v>13</v>
      </c>
      <c r="Z481" s="2" t="s">
        <v>455</v>
      </c>
    </row>
    <row r="482" spans="1:26" x14ac:dyDescent="0.25">
      <c r="A482">
        <v>861</v>
      </c>
      <c r="B482">
        <v>547</v>
      </c>
      <c r="C482" t="s">
        <v>22</v>
      </c>
      <c r="D482" t="s">
        <v>453</v>
      </c>
      <c r="E482" t="s">
        <v>62</v>
      </c>
      <c r="F482" t="s">
        <v>461</v>
      </c>
      <c r="G482" t="str">
        <f>VLOOKUP(F482,Hospitals!E:H,4,FALSE)</f>
        <v>29.5338 , 75.03872</v>
      </c>
      <c r="H482" s="1">
        <v>45472</v>
      </c>
      <c r="I482" s="1">
        <v>45472</v>
      </c>
      <c r="J482">
        <v>34.395000000000003</v>
      </c>
      <c r="K482">
        <v>31.952999999999999</v>
      </c>
      <c r="L482">
        <v>31.25</v>
      </c>
      <c r="M482">
        <v>17.646999999999998</v>
      </c>
      <c r="N482">
        <v>13.042999999999999</v>
      </c>
      <c r="O482">
        <v>13.042999999999999</v>
      </c>
      <c r="P482">
        <v>17.646999999999998</v>
      </c>
      <c r="Q482">
        <v>13.042999999999999</v>
      </c>
      <c r="R482">
        <v>13.042999999999999</v>
      </c>
      <c r="S482">
        <v>50</v>
      </c>
      <c r="T482">
        <v>33.332999999999998</v>
      </c>
      <c r="U482">
        <v>7.1429999999999998</v>
      </c>
      <c r="V482">
        <f t="shared" si="21"/>
        <v>29.922249999999998</v>
      </c>
      <c r="W482">
        <f t="shared" si="22"/>
        <v>22.842999999999996</v>
      </c>
      <c r="X482">
        <f t="shared" si="23"/>
        <v>16.11975</v>
      </c>
      <c r="Y482">
        <v>13</v>
      </c>
      <c r="Z482" s="2" t="s">
        <v>455</v>
      </c>
    </row>
    <row r="483" spans="1:26" x14ac:dyDescent="0.25">
      <c r="A483">
        <v>458</v>
      </c>
      <c r="B483">
        <v>548</v>
      </c>
      <c r="C483" t="s">
        <v>22</v>
      </c>
      <c r="D483" t="s">
        <v>453</v>
      </c>
      <c r="E483" t="s">
        <v>27</v>
      </c>
      <c r="F483" t="s">
        <v>462</v>
      </c>
      <c r="G483" t="str">
        <f>VLOOKUP(F483,Hospitals!E:H,4,FALSE)</f>
        <v>30.13077 , 74.99055</v>
      </c>
      <c r="H483" s="1">
        <v>45373</v>
      </c>
      <c r="I483" s="1">
        <v>45373</v>
      </c>
      <c r="J483">
        <v>46.497</v>
      </c>
      <c r="K483">
        <v>43.195</v>
      </c>
      <c r="L483">
        <v>41.476999999999997</v>
      </c>
      <c r="M483">
        <v>35.293999999999997</v>
      </c>
      <c r="N483">
        <v>26.087</v>
      </c>
      <c r="O483">
        <v>26.087</v>
      </c>
      <c r="P483">
        <v>35.293999999999997</v>
      </c>
      <c r="Q483">
        <v>26.087</v>
      </c>
      <c r="R483">
        <v>26.087</v>
      </c>
      <c r="S483">
        <v>0</v>
      </c>
      <c r="T483">
        <v>0</v>
      </c>
      <c r="U483">
        <v>0</v>
      </c>
      <c r="V483">
        <f t="shared" si="21"/>
        <v>29.271249999999998</v>
      </c>
      <c r="W483">
        <f t="shared" si="22"/>
        <v>23.84225</v>
      </c>
      <c r="X483">
        <f t="shared" si="23"/>
        <v>23.412749999999999</v>
      </c>
      <c r="Y483">
        <v>13</v>
      </c>
      <c r="Z483" s="2" t="s">
        <v>455</v>
      </c>
    </row>
    <row r="484" spans="1:26" x14ac:dyDescent="0.25">
      <c r="A484">
        <v>809</v>
      </c>
      <c r="B484">
        <v>549</v>
      </c>
      <c r="C484" t="s">
        <v>22</v>
      </c>
      <c r="D484" t="s">
        <v>453</v>
      </c>
      <c r="E484" t="s">
        <v>27</v>
      </c>
      <c r="F484" t="s">
        <v>463</v>
      </c>
      <c r="G484" t="str">
        <f>VLOOKUP(F484,Hospitals!E:H,4,FALSE)</f>
        <v>29.70283 , 74.90854</v>
      </c>
      <c r="H484" s="1">
        <v>45469</v>
      </c>
      <c r="I484" s="1">
        <v>45469</v>
      </c>
      <c r="J484">
        <v>49.682000000000002</v>
      </c>
      <c r="K484">
        <v>47.337000000000003</v>
      </c>
      <c r="L484">
        <v>45.454999999999998</v>
      </c>
      <c r="M484">
        <v>23.529</v>
      </c>
      <c r="N484">
        <v>17.390999999999998</v>
      </c>
      <c r="O484">
        <v>17.390999999999998</v>
      </c>
      <c r="P484">
        <v>23.529</v>
      </c>
      <c r="Q484">
        <v>17.390999999999998</v>
      </c>
      <c r="R484">
        <v>17.390999999999998</v>
      </c>
      <c r="S484">
        <v>0</v>
      </c>
      <c r="T484">
        <v>0</v>
      </c>
      <c r="U484">
        <v>0</v>
      </c>
      <c r="V484">
        <f t="shared" si="21"/>
        <v>24.184999999999999</v>
      </c>
      <c r="W484">
        <f t="shared" si="22"/>
        <v>20.52975</v>
      </c>
      <c r="X484">
        <f t="shared" si="23"/>
        <v>20.059249999999999</v>
      </c>
      <c r="Y484">
        <v>13</v>
      </c>
      <c r="Z484" s="2" t="s">
        <v>455</v>
      </c>
    </row>
    <row r="485" spans="1:26" x14ac:dyDescent="0.25">
      <c r="A485">
        <v>796</v>
      </c>
      <c r="B485">
        <v>550</v>
      </c>
      <c r="C485" t="s">
        <v>22</v>
      </c>
      <c r="D485" t="s">
        <v>453</v>
      </c>
      <c r="E485" t="s">
        <v>27</v>
      </c>
      <c r="F485" t="s">
        <v>464</v>
      </c>
      <c r="G485" t="str">
        <f>VLOOKUP(F485,Hospitals!E:H,4,FALSE)</f>
        <v>29.43055 , 74.92088</v>
      </c>
      <c r="H485" s="1">
        <v>45467</v>
      </c>
      <c r="I485" s="1">
        <v>45467</v>
      </c>
      <c r="J485">
        <v>36.942999999999998</v>
      </c>
      <c r="K485">
        <v>34.32</v>
      </c>
      <c r="L485">
        <v>32.954999999999998</v>
      </c>
      <c r="M485">
        <v>17.646999999999998</v>
      </c>
      <c r="N485">
        <v>13.042999999999999</v>
      </c>
      <c r="O485">
        <v>13.042999999999999</v>
      </c>
      <c r="P485">
        <v>17.646999999999998</v>
      </c>
      <c r="Q485">
        <v>13.042999999999999</v>
      </c>
      <c r="R485">
        <v>13.042999999999999</v>
      </c>
      <c r="S485">
        <v>0</v>
      </c>
      <c r="T485">
        <v>0</v>
      </c>
      <c r="U485">
        <v>0</v>
      </c>
      <c r="V485">
        <f t="shared" si="21"/>
        <v>18.059249999999999</v>
      </c>
      <c r="W485">
        <f t="shared" si="22"/>
        <v>15.1015</v>
      </c>
      <c r="X485">
        <f t="shared" si="23"/>
        <v>14.760249999999999</v>
      </c>
      <c r="Y485">
        <v>13</v>
      </c>
      <c r="Z485" s="2" t="s">
        <v>455</v>
      </c>
    </row>
    <row r="486" spans="1:26" x14ac:dyDescent="0.25">
      <c r="A486">
        <v>464</v>
      </c>
      <c r="B486">
        <v>551</v>
      </c>
      <c r="C486" t="s">
        <v>22</v>
      </c>
      <c r="D486" t="s">
        <v>453</v>
      </c>
      <c r="E486" t="s">
        <v>27</v>
      </c>
      <c r="F486" t="s">
        <v>465</v>
      </c>
      <c r="G486" t="str">
        <f>VLOOKUP(F486,Hospitals!E:H,4,FALSE)</f>
        <v>29.57496 , 74.89449</v>
      </c>
      <c r="H486" s="1">
        <v>45380</v>
      </c>
      <c r="I486" s="1">
        <v>45380</v>
      </c>
      <c r="J486">
        <v>47.771000000000001</v>
      </c>
      <c r="K486">
        <v>44.378999999999998</v>
      </c>
      <c r="L486">
        <v>42.613999999999997</v>
      </c>
      <c r="M486">
        <v>35.293999999999997</v>
      </c>
      <c r="N486">
        <v>26.087</v>
      </c>
      <c r="O486">
        <v>26.087</v>
      </c>
      <c r="P486">
        <v>35.293999999999997</v>
      </c>
      <c r="Q486">
        <v>26.087</v>
      </c>
      <c r="R486">
        <v>26.087</v>
      </c>
      <c r="S486">
        <v>0</v>
      </c>
      <c r="T486">
        <v>0</v>
      </c>
      <c r="U486">
        <v>0</v>
      </c>
      <c r="V486">
        <f t="shared" si="21"/>
        <v>29.589749999999999</v>
      </c>
      <c r="W486">
        <f t="shared" si="22"/>
        <v>24.138249999999999</v>
      </c>
      <c r="X486">
        <f t="shared" si="23"/>
        <v>23.696999999999999</v>
      </c>
      <c r="Y486">
        <v>13</v>
      </c>
      <c r="Z486" s="2" t="s">
        <v>455</v>
      </c>
    </row>
    <row r="487" spans="1:26" x14ac:dyDescent="0.25">
      <c r="A487">
        <v>472</v>
      </c>
      <c r="B487">
        <v>552</v>
      </c>
      <c r="C487" t="s">
        <v>22</v>
      </c>
      <c r="D487" t="s">
        <v>453</v>
      </c>
      <c r="E487" t="s">
        <v>27</v>
      </c>
      <c r="F487" t="s">
        <v>466</v>
      </c>
      <c r="G487" t="str">
        <f>VLOOKUP(F487,Hospitals!E:H,4,FALSE)</f>
        <v>29.14919 , 75.72165</v>
      </c>
      <c r="H487" s="1">
        <v>45378</v>
      </c>
      <c r="I487" s="1">
        <v>45378</v>
      </c>
      <c r="J487">
        <v>52.228999999999999</v>
      </c>
      <c r="K487">
        <v>48.521000000000001</v>
      </c>
      <c r="L487">
        <v>46.591000000000001</v>
      </c>
      <c r="M487">
        <v>29.411999999999999</v>
      </c>
      <c r="N487">
        <v>21.739000000000001</v>
      </c>
      <c r="O487">
        <v>21.739000000000001</v>
      </c>
      <c r="P487">
        <v>29.411999999999999</v>
      </c>
      <c r="Q487">
        <v>21.739000000000001</v>
      </c>
      <c r="R487">
        <v>21.739000000000001</v>
      </c>
      <c r="S487">
        <v>0</v>
      </c>
      <c r="T487">
        <v>0</v>
      </c>
      <c r="U487">
        <v>0</v>
      </c>
      <c r="V487">
        <f t="shared" si="21"/>
        <v>27.763249999999999</v>
      </c>
      <c r="W487">
        <f t="shared" si="22"/>
        <v>22.999750000000002</v>
      </c>
      <c r="X487">
        <f t="shared" si="23"/>
        <v>22.517250000000001</v>
      </c>
      <c r="Y487">
        <v>13</v>
      </c>
      <c r="Z487" s="2" t="s">
        <v>455</v>
      </c>
    </row>
    <row r="488" spans="1:26" x14ac:dyDescent="0.25">
      <c r="A488">
        <v>463</v>
      </c>
      <c r="B488">
        <v>553</v>
      </c>
      <c r="C488" t="s">
        <v>22</v>
      </c>
      <c r="D488" t="s">
        <v>453</v>
      </c>
      <c r="E488" t="s">
        <v>27</v>
      </c>
      <c r="F488" t="s">
        <v>467</v>
      </c>
      <c r="G488" t="str">
        <f>VLOOKUP(F488,Hospitals!E:H,4,FALSE)</f>
        <v>29.5364 , 75.22999</v>
      </c>
      <c r="H488" s="1">
        <v>45377</v>
      </c>
      <c r="I488" s="1">
        <v>45377</v>
      </c>
      <c r="J488">
        <v>48.408000000000001</v>
      </c>
      <c r="K488">
        <v>45.561999999999998</v>
      </c>
      <c r="L488">
        <v>43.75</v>
      </c>
      <c r="M488">
        <v>64.706000000000003</v>
      </c>
      <c r="N488">
        <v>47.826000000000001</v>
      </c>
      <c r="O488">
        <v>47.826000000000001</v>
      </c>
      <c r="P488">
        <v>64.706000000000003</v>
      </c>
      <c r="Q488">
        <v>47.826000000000001</v>
      </c>
      <c r="R488">
        <v>47.826000000000001</v>
      </c>
      <c r="S488">
        <v>0</v>
      </c>
      <c r="T488">
        <v>0</v>
      </c>
      <c r="U488">
        <v>0</v>
      </c>
      <c r="V488">
        <f t="shared" si="21"/>
        <v>44.454999999999998</v>
      </c>
      <c r="W488">
        <f t="shared" si="22"/>
        <v>35.3035</v>
      </c>
      <c r="X488">
        <f t="shared" si="23"/>
        <v>34.850499999999997</v>
      </c>
      <c r="Y488">
        <v>13</v>
      </c>
      <c r="Z488" s="2" t="s">
        <v>455</v>
      </c>
    </row>
    <row r="489" spans="1:26" x14ac:dyDescent="0.25">
      <c r="A489">
        <v>1096</v>
      </c>
      <c r="B489">
        <v>554</v>
      </c>
      <c r="C489" t="s">
        <v>22</v>
      </c>
      <c r="D489" t="s">
        <v>453</v>
      </c>
      <c r="E489" t="s">
        <v>27</v>
      </c>
      <c r="F489" t="s">
        <v>468</v>
      </c>
      <c r="G489" t="str">
        <f>VLOOKUP(F489,Hospitals!E:H,4,FALSE)</f>
        <v>29.14919 , 75.72165</v>
      </c>
      <c r="H489" s="1">
        <v>45595</v>
      </c>
      <c r="I489" t="s">
        <v>35</v>
      </c>
      <c r="J489">
        <v>49.682000000000002</v>
      </c>
      <c r="K489">
        <v>46.154000000000003</v>
      </c>
      <c r="L489">
        <v>44.317999999999998</v>
      </c>
      <c r="M489">
        <v>52.941000000000003</v>
      </c>
      <c r="N489">
        <v>43.478000000000002</v>
      </c>
      <c r="O489">
        <v>43.478000000000002</v>
      </c>
      <c r="P489">
        <v>52.941000000000003</v>
      </c>
      <c r="Q489">
        <v>43.478000000000002</v>
      </c>
      <c r="R489">
        <v>43.478000000000002</v>
      </c>
      <c r="S489">
        <v>0</v>
      </c>
      <c r="T489">
        <v>0</v>
      </c>
      <c r="U489">
        <v>0</v>
      </c>
      <c r="V489">
        <f t="shared" si="21"/>
        <v>38.891000000000005</v>
      </c>
      <c r="W489">
        <f t="shared" si="22"/>
        <v>33.277500000000003</v>
      </c>
      <c r="X489">
        <f t="shared" si="23"/>
        <v>32.8185</v>
      </c>
      <c r="Y489">
        <v>13</v>
      </c>
      <c r="Z489" s="2" t="s">
        <v>455</v>
      </c>
    </row>
    <row r="490" spans="1:26" x14ac:dyDescent="0.25">
      <c r="A490">
        <v>486</v>
      </c>
      <c r="B490">
        <v>554</v>
      </c>
      <c r="C490" t="s">
        <v>22</v>
      </c>
      <c r="D490" t="s">
        <v>453</v>
      </c>
      <c r="E490" t="s">
        <v>27</v>
      </c>
      <c r="F490" t="s">
        <v>468</v>
      </c>
      <c r="G490" t="str">
        <f>VLOOKUP(F490,Hospitals!E:H,4,FALSE)</f>
        <v>29.14919 , 75.72165</v>
      </c>
      <c r="H490" s="1">
        <v>45377</v>
      </c>
      <c r="I490" s="1">
        <v>45377</v>
      </c>
      <c r="J490">
        <v>49.682000000000002</v>
      </c>
      <c r="K490">
        <v>46.154000000000003</v>
      </c>
      <c r="L490">
        <v>44.317999999999998</v>
      </c>
      <c r="M490">
        <v>52.941000000000003</v>
      </c>
      <c r="N490">
        <v>43.478000000000002</v>
      </c>
      <c r="O490">
        <v>43.478000000000002</v>
      </c>
      <c r="P490">
        <v>52.941000000000003</v>
      </c>
      <c r="Q490">
        <v>43.478000000000002</v>
      </c>
      <c r="R490">
        <v>43.478000000000002</v>
      </c>
      <c r="S490">
        <v>0</v>
      </c>
      <c r="T490">
        <v>0</v>
      </c>
      <c r="U490">
        <v>0</v>
      </c>
      <c r="V490">
        <f t="shared" si="21"/>
        <v>38.891000000000005</v>
      </c>
      <c r="W490">
        <f t="shared" si="22"/>
        <v>33.277500000000003</v>
      </c>
      <c r="X490">
        <f t="shared" si="23"/>
        <v>32.8185</v>
      </c>
      <c r="Y490">
        <v>13</v>
      </c>
      <c r="Z490" s="2" t="s">
        <v>455</v>
      </c>
    </row>
    <row r="491" spans="1:26" x14ac:dyDescent="0.25">
      <c r="A491">
        <v>793</v>
      </c>
      <c r="B491">
        <v>556</v>
      </c>
      <c r="C491" t="s">
        <v>22</v>
      </c>
      <c r="D491" t="s">
        <v>453</v>
      </c>
      <c r="E491" t="s">
        <v>27</v>
      </c>
      <c r="F491" t="s">
        <v>469</v>
      </c>
      <c r="G491" t="str">
        <f>VLOOKUP(F491,Hospitals!E:H,4,FALSE)</f>
        <v>29.64356 , 75.14543</v>
      </c>
      <c r="H491" s="1">
        <v>45477</v>
      </c>
      <c r="I491" s="1">
        <v>45477</v>
      </c>
      <c r="J491">
        <v>49.045000000000002</v>
      </c>
      <c r="K491">
        <v>46.154000000000003</v>
      </c>
      <c r="L491">
        <v>44.317999999999998</v>
      </c>
      <c r="M491">
        <v>52.941000000000003</v>
      </c>
      <c r="N491">
        <v>39.130000000000003</v>
      </c>
      <c r="O491">
        <v>39.130000000000003</v>
      </c>
      <c r="P491">
        <v>52.941000000000003</v>
      </c>
      <c r="Q491">
        <v>39.130000000000003</v>
      </c>
      <c r="R491">
        <v>39.130000000000003</v>
      </c>
      <c r="S491">
        <v>0</v>
      </c>
      <c r="T491">
        <v>0</v>
      </c>
      <c r="U491">
        <v>0</v>
      </c>
      <c r="V491">
        <f t="shared" si="21"/>
        <v>38.731750000000005</v>
      </c>
      <c r="W491">
        <f t="shared" si="22"/>
        <v>31.103500000000004</v>
      </c>
      <c r="X491">
        <f t="shared" si="23"/>
        <v>30.644500000000001</v>
      </c>
      <c r="Y491">
        <v>13</v>
      </c>
      <c r="Z491" s="2" t="s">
        <v>455</v>
      </c>
    </row>
    <row r="492" spans="1:26" x14ac:dyDescent="0.25">
      <c r="A492">
        <v>493</v>
      </c>
      <c r="B492">
        <v>557</v>
      </c>
      <c r="C492" t="s">
        <v>22</v>
      </c>
      <c r="D492" t="s">
        <v>453</v>
      </c>
      <c r="E492" t="s">
        <v>27</v>
      </c>
      <c r="F492" t="s">
        <v>470</v>
      </c>
      <c r="G492" t="str">
        <f>VLOOKUP(F492,Hospitals!E:H,4,FALSE)</f>
        <v>29.14919 , 75.72165</v>
      </c>
      <c r="H492" s="1">
        <v>45383</v>
      </c>
      <c r="I492" s="1">
        <v>45383</v>
      </c>
      <c r="J492">
        <v>39.49</v>
      </c>
      <c r="K492">
        <v>36.686</v>
      </c>
      <c r="L492">
        <v>35.226999999999997</v>
      </c>
      <c r="M492">
        <v>5.8819999999999997</v>
      </c>
      <c r="N492">
        <v>4.3479999999999999</v>
      </c>
      <c r="O492">
        <v>4.3479999999999999</v>
      </c>
      <c r="P492">
        <v>5.8819999999999997</v>
      </c>
      <c r="Q492">
        <v>4.3479999999999999</v>
      </c>
      <c r="R492">
        <v>4.3479999999999999</v>
      </c>
      <c r="S492">
        <v>0</v>
      </c>
      <c r="T492">
        <v>0</v>
      </c>
      <c r="U492">
        <v>0</v>
      </c>
      <c r="V492">
        <f t="shared" si="21"/>
        <v>12.813499999999999</v>
      </c>
      <c r="W492">
        <f t="shared" si="22"/>
        <v>11.345499999999999</v>
      </c>
      <c r="X492">
        <f t="shared" si="23"/>
        <v>10.980749999999999</v>
      </c>
      <c r="Y492">
        <v>13</v>
      </c>
      <c r="Z492" s="2" t="s">
        <v>455</v>
      </c>
    </row>
    <row r="493" spans="1:26" x14ac:dyDescent="0.25">
      <c r="A493">
        <v>467</v>
      </c>
      <c r="B493">
        <v>558</v>
      </c>
      <c r="C493" t="s">
        <v>22</v>
      </c>
      <c r="D493" t="s">
        <v>453</v>
      </c>
      <c r="E493" t="s">
        <v>27</v>
      </c>
      <c r="F493" t="s">
        <v>471</v>
      </c>
      <c r="G493" t="str">
        <f>VLOOKUP(F493,Hospitals!E:H,4,FALSE)</f>
        <v>29.53971 , 75.01513</v>
      </c>
      <c r="H493" s="1">
        <v>45377</v>
      </c>
      <c r="I493" s="1">
        <v>45377</v>
      </c>
      <c r="J493">
        <v>53.503</v>
      </c>
      <c r="K493">
        <v>50.295999999999999</v>
      </c>
      <c r="L493">
        <v>48.295000000000002</v>
      </c>
      <c r="M493">
        <v>23.529</v>
      </c>
      <c r="N493">
        <v>17.390999999999998</v>
      </c>
      <c r="O493">
        <v>17.390999999999998</v>
      </c>
      <c r="P493">
        <v>23.529</v>
      </c>
      <c r="Q493">
        <v>17.390999999999998</v>
      </c>
      <c r="R493">
        <v>17.390999999999998</v>
      </c>
      <c r="S493">
        <v>0</v>
      </c>
      <c r="T493">
        <v>0</v>
      </c>
      <c r="U493">
        <v>0</v>
      </c>
      <c r="V493">
        <f t="shared" si="21"/>
        <v>25.140249999999998</v>
      </c>
      <c r="W493">
        <f t="shared" si="22"/>
        <v>21.269500000000001</v>
      </c>
      <c r="X493">
        <f t="shared" si="23"/>
        <v>20.76925</v>
      </c>
      <c r="Y493">
        <v>13</v>
      </c>
      <c r="Z493" s="2" t="s">
        <v>455</v>
      </c>
    </row>
    <row r="494" spans="1:26" x14ac:dyDescent="0.25">
      <c r="A494">
        <v>478</v>
      </c>
      <c r="B494">
        <v>559</v>
      </c>
      <c r="C494" t="s">
        <v>22</v>
      </c>
      <c r="D494" t="s">
        <v>453</v>
      </c>
      <c r="E494" t="s">
        <v>27</v>
      </c>
      <c r="F494" t="s">
        <v>472</v>
      </c>
      <c r="G494" t="str">
        <f>VLOOKUP(F494,Hospitals!E:H,4,FALSE)</f>
        <v>30.90096 , 75.85728</v>
      </c>
      <c r="H494" s="1">
        <v>45377</v>
      </c>
      <c r="I494" s="1">
        <v>45377</v>
      </c>
      <c r="J494">
        <v>17.834</v>
      </c>
      <c r="K494">
        <v>16.568000000000001</v>
      </c>
      <c r="L494">
        <v>15.909000000000001</v>
      </c>
      <c r="M494">
        <v>11.765000000000001</v>
      </c>
      <c r="N494">
        <v>8.6959999999999997</v>
      </c>
      <c r="O494">
        <v>8.6959999999999997</v>
      </c>
      <c r="P494">
        <v>11.765000000000001</v>
      </c>
      <c r="Q494">
        <v>8.6959999999999997</v>
      </c>
      <c r="R494">
        <v>8.6959999999999997</v>
      </c>
      <c r="S494">
        <v>0</v>
      </c>
      <c r="T494">
        <v>0</v>
      </c>
      <c r="U494">
        <v>0</v>
      </c>
      <c r="V494">
        <f t="shared" si="21"/>
        <v>10.341000000000001</v>
      </c>
      <c r="W494">
        <f t="shared" si="22"/>
        <v>8.49</v>
      </c>
      <c r="X494">
        <f t="shared" si="23"/>
        <v>8.3252500000000005</v>
      </c>
      <c r="Y494">
        <v>13</v>
      </c>
      <c r="Z494" s="2" t="s">
        <v>455</v>
      </c>
    </row>
    <row r="495" spans="1:26" x14ac:dyDescent="0.25">
      <c r="A495">
        <v>855</v>
      </c>
      <c r="B495">
        <v>56</v>
      </c>
      <c r="C495" t="s">
        <v>22</v>
      </c>
      <c r="D495" t="s">
        <v>328</v>
      </c>
      <c r="E495" t="s">
        <v>30</v>
      </c>
      <c r="F495" t="s">
        <v>473</v>
      </c>
      <c r="G495" t="str">
        <f>VLOOKUP(F495,Hospitals!E:H,4,FALSE)</f>
        <v>28.80384 , 76.14253</v>
      </c>
      <c r="H495" s="1">
        <v>45470</v>
      </c>
      <c r="I495" t="s">
        <v>35</v>
      </c>
      <c r="J495">
        <v>93.631</v>
      </c>
      <c r="K495">
        <v>92.899000000000001</v>
      </c>
      <c r="L495">
        <v>92.045000000000002</v>
      </c>
      <c r="M495">
        <v>94.117999999999995</v>
      </c>
      <c r="N495">
        <v>91.304000000000002</v>
      </c>
      <c r="O495">
        <v>91.304000000000002</v>
      </c>
      <c r="P495">
        <v>94.117999999999995</v>
      </c>
      <c r="Q495">
        <v>91.304000000000002</v>
      </c>
      <c r="R495">
        <v>91.304000000000002</v>
      </c>
      <c r="S495">
        <v>0</v>
      </c>
      <c r="T495">
        <v>0</v>
      </c>
      <c r="U495">
        <v>0</v>
      </c>
      <c r="V495">
        <f t="shared" si="21"/>
        <v>70.46674999999999</v>
      </c>
      <c r="W495">
        <f t="shared" si="22"/>
        <v>68.876750000000001</v>
      </c>
      <c r="X495">
        <f t="shared" si="23"/>
        <v>68.663250000000005</v>
      </c>
      <c r="Y495">
        <v>13</v>
      </c>
      <c r="Z495" s="2" t="s">
        <v>330</v>
      </c>
    </row>
    <row r="496" spans="1:26" x14ac:dyDescent="0.25">
      <c r="A496">
        <v>853</v>
      </c>
      <c r="B496">
        <v>56</v>
      </c>
      <c r="C496" t="s">
        <v>22</v>
      </c>
      <c r="D496" t="s">
        <v>328</v>
      </c>
      <c r="E496" t="s">
        <v>30</v>
      </c>
      <c r="F496" t="s">
        <v>473</v>
      </c>
      <c r="G496" t="str">
        <f>VLOOKUP(F496,Hospitals!E:H,4,FALSE)</f>
        <v>28.80384 , 76.14253</v>
      </c>
      <c r="H496" s="1">
        <v>45470</v>
      </c>
      <c r="I496" s="1">
        <v>45470</v>
      </c>
      <c r="J496">
        <v>93.631</v>
      </c>
      <c r="K496">
        <v>92.899000000000001</v>
      </c>
      <c r="L496">
        <v>92.045000000000002</v>
      </c>
      <c r="M496">
        <v>94.117999999999995</v>
      </c>
      <c r="N496">
        <v>91.304000000000002</v>
      </c>
      <c r="O496">
        <v>91.304000000000002</v>
      </c>
      <c r="P496">
        <v>94.117999999999995</v>
      </c>
      <c r="Q496">
        <v>91.304000000000002</v>
      </c>
      <c r="R496">
        <v>91.304000000000002</v>
      </c>
      <c r="S496">
        <v>0</v>
      </c>
      <c r="T496">
        <v>0</v>
      </c>
      <c r="U496">
        <v>0</v>
      </c>
      <c r="V496">
        <f t="shared" si="21"/>
        <v>70.46674999999999</v>
      </c>
      <c r="W496">
        <f t="shared" si="22"/>
        <v>68.876750000000001</v>
      </c>
      <c r="X496">
        <f t="shared" si="23"/>
        <v>68.663250000000005</v>
      </c>
      <c r="Y496">
        <v>13</v>
      </c>
      <c r="Z496" s="2" t="s">
        <v>330</v>
      </c>
    </row>
    <row r="497" spans="1:26" x14ac:dyDescent="0.25">
      <c r="A497">
        <v>498</v>
      </c>
      <c r="B497">
        <v>560</v>
      </c>
      <c r="C497" t="s">
        <v>22</v>
      </c>
      <c r="D497" t="s">
        <v>453</v>
      </c>
      <c r="E497" t="s">
        <v>27</v>
      </c>
      <c r="F497" t="s">
        <v>474</v>
      </c>
      <c r="G497" t="str">
        <f>VLOOKUP(F497,Hospitals!E:H,4,FALSE)</f>
        <v>28.99308 , 77.01507</v>
      </c>
      <c r="H497" s="1">
        <v>45381</v>
      </c>
      <c r="I497" s="1">
        <v>45381</v>
      </c>
      <c r="J497">
        <v>33.758000000000003</v>
      </c>
      <c r="K497">
        <v>31.361000000000001</v>
      </c>
      <c r="L497">
        <v>30.114000000000001</v>
      </c>
      <c r="M497">
        <v>23.529</v>
      </c>
      <c r="N497">
        <v>17.390999999999998</v>
      </c>
      <c r="O497">
        <v>17.390999999999998</v>
      </c>
      <c r="P497">
        <v>23.529</v>
      </c>
      <c r="Q497">
        <v>17.390999999999998</v>
      </c>
      <c r="R497">
        <v>17.390999999999998</v>
      </c>
      <c r="S497">
        <v>0</v>
      </c>
      <c r="T497">
        <v>0</v>
      </c>
      <c r="U497">
        <v>0</v>
      </c>
      <c r="V497">
        <f t="shared" si="21"/>
        <v>20.204000000000001</v>
      </c>
      <c r="W497">
        <f t="shared" si="22"/>
        <v>16.53575</v>
      </c>
      <c r="X497">
        <f t="shared" si="23"/>
        <v>16.223999999999997</v>
      </c>
      <c r="Y497">
        <v>13</v>
      </c>
      <c r="Z497" s="2" t="s">
        <v>455</v>
      </c>
    </row>
    <row r="498" spans="1:26" x14ac:dyDescent="0.25">
      <c r="A498">
        <v>462</v>
      </c>
      <c r="B498">
        <v>561</v>
      </c>
      <c r="C498" t="s">
        <v>22</v>
      </c>
      <c r="D498" t="s">
        <v>453</v>
      </c>
      <c r="E498" t="s">
        <v>27</v>
      </c>
      <c r="F498" t="s">
        <v>475</v>
      </c>
      <c r="G498" t="str">
        <f>VLOOKUP(F498,Hospitals!E:H,4,FALSE)</f>
        <v>28.99308 , 77.01507</v>
      </c>
      <c r="H498" s="1">
        <v>45377</v>
      </c>
      <c r="I498" s="1">
        <v>45377</v>
      </c>
      <c r="J498">
        <v>26.114999999999998</v>
      </c>
      <c r="K498">
        <v>24.26</v>
      </c>
      <c r="L498">
        <v>23.295000000000002</v>
      </c>
      <c r="M498">
        <v>23.529</v>
      </c>
      <c r="N498">
        <v>17.390999999999998</v>
      </c>
      <c r="O498">
        <v>17.390999999999998</v>
      </c>
      <c r="P498">
        <v>23.529</v>
      </c>
      <c r="Q498">
        <v>17.390999999999998</v>
      </c>
      <c r="R498">
        <v>17.390999999999998</v>
      </c>
      <c r="S498">
        <v>0</v>
      </c>
      <c r="T498">
        <v>0</v>
      </c>
      <c r="U498">
        <v>0</v>
      </c>
      <c r="V498">
        <f t="shared" si="21"/>
        <v>18.29325</v>
      </c>
      <c r="W498">
        <f t="shared" si="22"/>
        <v>14.760499999999999</v>
      </c>
      <c r="X498">
        <f t="shared" si="23"/>
        <v>14.51925</v>
      </c>
      <c r="Y498">
        <v>13</v>
      </c>
      <c r="Z498" s="2" t="s">
        <v>455</v>
      </c>
    </row>
    <row r="499" spans="1:26" x14ac:dyDescent="0.25">
      <c r="A499">
        <v>474</v>
      </c>
      <c r="B499">
        <v>562</v>
      </c>
      <c r="C499" t="s">
        <v>22</v>
      </c>
      <c r="D499" t="s">
        <v>453</v>
      </c>
      <c r="E499" t="s">
        <v>27</v>
      </c>
      <c r="F499" t="s">
        <v>476</v>
      </c>
      <c r="G499" t="str">
        <f>VLOOKUP(F499,Hospitals!E:H,4,FALSE)</f>
        <v>29.04954 , 75.57425</v>
      </c>
      <c r="H499" s="1">
        <v>45377</v>
      </c>
      <c r="I499" s="1">
        <v>45377</v>
      </c>
      <c r="J499">
        <v>36.305999999999997</v>
      </c>
      <c r="K499">
        <v>34.32</v>
      </c>
      <c r="L499">
        <v>32.954999999999998</v>
      </c>
      <c r="M499">
        <v>11.765000000000001</v>
      </c>
      <c r="N499">
        <v>8.6959999999999997</v>
      </c>
      <c r="O499">
        <v>8.6959999999999997</v>
      </c>
      <c r="P499">
        <v>11.765000000000001</v>
      </c>
      <c r="Q499">
        <v>8.6959999999999997</v>
      </c>
      <c r="R499">
        <v>8.6959999999999997</v>
      </c>
      <c r="S499">
        <v>0</v>
      </c>
      <c r="T499">
        <v>0</v>
      </c>
      <c r="U499">
        <v>0</v>
      </c>
      <c r="V499">
        <f t="shared" si="21"/>
        <v>14.959</v>
      </c>
      <c r="W499">
        <f t="shared" si="22"/>
        <v>12.927999999999999</v>
      </c>
      <c r="X499">
        <f t="shared" si="23"/>
        <v>12.586749999999999</v>
      </c>
      <c r="Y499">
        <v>13</v>
      </c>
      <c r="Z499" s="2" t="s">
        <v>455</v>
      </c>
    </row>
    <row r="500" spans="1:26" x14ac:dyDescent="0.25">
      <c r="A500">
        <v>460</v>
      </c>
      <c r="B500">
        <v>563</v>
      </c>
      <c r="C500" t="s">
        <v>22</v>
      </c>
      <c r="D500" t="s">
        <v>453</v>
      </c>
      <c r="E500" t="s">
        <v>27</v>
      </c>
      <c r="F500" t="s">
        <v>477</v>
      </c>
      <c r="G500" t="str">
        <f>VLOOKUP(F500,Hospitals!E:H,4,FALSE)</f>
        <v>29.53065 , 75.0468</v>
      </c>
      <c r="H500" s="1">
        <v>45374</v>
      </c>
      <c r="I500" s="1">
        <v>45374</v>
      </c>
      <c r="J500">
        <v>40.127000000000002</v>
      </c>
      <c r="K500">
        <v>37.277999999999999</v>
      </c>
      <c r="L500">
        <v>35.795000000000002</v>
      </c>
      <c r="M500">
        <v>29.411999999999999</v>
      </c>
      <c r="N500">
        <v>21.739000000000001</v>
      </c>
      <c r="O500">
        <v>21.739000000000001</v>
      </c>
      <c r="P500">
        <v>29.411999999999999</v>
      </c>
      <c r="Q500">
        <v>21.739000000000001</v>
      </c>
      <c r="R500">
        <v>21.739000000000001</v>
      </c>
      <c r="S500">
        <v>0</v>
      </c>
      <c r="T500">
        <v>0</v>
      </c>
      <c r="U500">
        <v>0</v>
      </c>
      <c r="V500">
        <f t="shared" si="21"/>
        <v>24.737749999999998</v>
      </c>
      <c r="W500">
        <f t="shared" si="22"/>
        <v>20.189</v>
      </c>
      <c r="X500">
        <f t="shared" si="23"/>
        <v>19.818250000000003</v>
      </c>
      <c r="Y500">
        <v>13</v>
      </c>
      <c r="Z500" s="2" t="s">
        <v>455</v>
      </c>
    </row>
    <row r="501" spans="1:26" x14ac:dyDescent="0.25">
      <c r="A501">
        <v>491</v>
      </c>
      <c r="B501">
        <v>564</v>
      </c>
      <c r="C501" t="s">
        <v>22</v>
      </c>
      <c r="D501" t="s">
        <v>453</v>
      </c>
      <c r="E501" t="s">
        <v>27</v>
      </c>
      <c r="F501" t="s">
        <v>478</v>
      </c>
      <c r="G501" t="str">
        <f>VLOOKUP(F501,Hospitals!E:H,4,FALSE)</f>
        <v>29.43055 , 74.92088</v>
      </c>
      <c r="H501" s="1">
        <v>45377</v>
      </c>
      <c r="I501" s="1">
        <v>45377</v>
      </c>
      <c r="J501">
        <v>36.942999999999998</v>
      </c>
      <c r="K501">
        <v>34.32</v>
      </c>
      <c r="L501">
        <v>32.954999999999998</v>
      </c>
      <c r="M501">
        <v>35.293999999999997</v>
      </c>
      <c r="N501">
        <v>26.087</v>
      </c>
      <c r="O501">
        <v>26.087</v>
      </c>
      <c r="P501">
        <v>35.293999999999997</v>
      </c>
      <c r="Q501">
        <v>26.087</v>
      </c>
      <c r="R501">
        <v>26.087</v>
      </c>
      <c r="S501">
        <v>0</v>
      </c>
      <c r="T501">
        <v>0</v>
      </c>
      <c r="U501">
        <v>0</v>
      </c>
      <c r="V501">
        <f t="shared" si="21"/>
        <v>26.882749999999998</v>
      </c>
      <c r="W501">
        <f t="shared" si="22"/>
        <v>21.6235</v>
      </c>
      <c r="X501">
        <f t="shared" si="23"/>
        <v>21.282250000000001</v>
      </c>
      <c r="Y501">
        <v>13</v>
      </c>
      <c r="Z501" s="2" t="s">
        <v>455</v>
      </c>
    </row>
    <row r="502" spans="1:26" x14ac:dyDescent="0.25">
      <c r="A502">
        <v>552</v>
      </c>
      <c r="B502">
        <v>565</v>
      </c>
      <c r="C502" t="s">
        <v>22</v>
      </c>
      <c r="D502" t="s">
        <v>453</v>
      </c>
      <c r="E502" t="s">
        <v>27</v>
      </c>
      <c r="F502" t="s">
        <v>479</v>
      </c>
      <c r="G502" t="str">
        <f>VLOOKUP(F502,Hospitals!E:H,4,FALSE)</f>
        <v>29.32607 , 74.98623</v>
      </c>
      <c r="H502" s="1">
        <v>45384</v>
      </c>
      <c r="I502" s="1">
        <v>45384</v>
      </c>
      <c r="J502">
        <v>44.585999999999999</v>
      </c>
      <c r="K502">
        <v>41.42</v>
      </c>
      <c r="L502">
        <v>39.773000000000003</v>
      </c>
      <c r="M502">
        <v>35.293999999999997</v>
      </c>
      <c r="N502">
        <v>26.087</v>
      </c>
      <c r="O502">
        <v>26.087</v>
      </c>
      <c r="P502">
        <v>35.293999999999997</v>
      </c>
      <c r="Q502">
        <v>26.087</v>
      </c>
      <c r="R502">
        <v>26.087</v>
      </c>
      <c r="S502">
        <v>0</v>
      </c>
      <c r="T502">
        <v>0</v>
      </c>
      <c r="U502">
        <v>0</v>
      </c>
      <c r="V502">
        <f t="shared" si="21"/>
        <v>28.793499999999998</v>
      </c>
      <c r="W502">
        <f t="shared" si="22"/>
        <v>23.398500000000002</v>
      </c>
      <c r="X502">
        <f t="shared" si="23"/>
        <v>22.986750000000001</v>
      </c>
      <c r="Y502">
        <v>13</v>
      </c>
      <c r="Z502" s="2" t="s">
        <v>455</v>
      </c>
    </row>
    <row r="503" spans="1:26" x14ac:dyDescent="0.25">
      <c r="A503">
        <v>502</v>
      </c>
      <c r="B503">
        <v>566</v>
      </c>
      <c r="C503" t="s">
        <v>22</v>
      </c>
      <c r="D503" t="s">
        <v>453</v>
      </c>
      <c r="E503" t="s">
        <v>27</v>
      </c>
      <c r="F503" t="s">
        <v>480</v>
      </c>
      <c r="G503" t="str">
        <f>VLOOKUP(F503,Hospitals!E:H,4,FALSE)</f>
        <v>29.29232 , 75.16609</v>
      </c>
      <c r="H503" s="1">
        <v>45378</v>
      </c>
      <c r="I503" s="1">
        <v>45378</v>
      </c>
      <c r="J503">
        <v>66.242000000000004</v>
      </c>
      <c r="K503">
        <v>61.537999999999997</v>
      </c>
      <c r="L503">
        <v>59.091000000000001</v>
      </c>
      <c r="M503">
        <v>58.823999999999998</v>
      </c>
      <c r="N503">
        <v>47.826000000000001</v>
      </c>
      <c r="O503">
        <v>47.826000000000001</v>
      </c>
      <c r="P503">
        <v>58.823999999999998</v>
      </c>
      <c r="Q503">
        <v>47.826000000000001</v>
      </c>
      <c r="R503">
        <v>47.826000000000001</v>
      </c>
      <c r="S503">
        <v>0</v>
      </c>
      <c r="T503">
        <v>0</v>
      </c>
      <c r="U503">
        <v>0</v>
      </c>
      <c r="V503">
        <f t="shared" si="21"/>
        <v>45.972499999999997</v>
      </c>
      <c r="W503">
        <f t="shared" si="22"/>
        <v>39.297499999999999</v>
      </c>
      <c r="X503">
        <f t="shared" si="23"/>
        <v>38.685749999999999</v>
      </c>
      <c r="Y503">
        <v>13</v>
      </c>
      <c r="Z503" s="2" t="s">
        <v>455</v>
      </c>
    </row>
    <row r="504" spans="1:26" x14ac:dyDescent="0.25">
      <c r="A504">
        <v>874</v>
      </c>
      <c r="B504">
        <v>567</v>
      </c>
      <c r="C504" t="s">
        <v>22</v>
      </c>
      <c r="D504" t="s">
        <v>453</v>
      </c>
      <c r="E504" t="s">
        <v>27</v>
      </c>
      <c r="F504" t="s">
        <v>481</v>
      </c>
      <c r="G504" t="e">
        <f>VLOOKUP(F504,Hospitals!E:H,4,FALSE)</f>
        <v>#N/A</v>
      </c>
      <c r="H504" s="1">
        <v>45476</v>
      </c>
      <c r="I504" t="s">
        <v>35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f t="shared" si="21"/>
        <v>0</v>
      </c>
      <c r="W504">
        <f t="shared" si="22"/>
        <v>0</v>
      </c>
      <c r="X504">
        <f t="shared" si="23"/>
        <v>0</v>
      </c>
      <c r="Y504">
        <v>13</v>
      </c>
      <c r="Z504" s="2" t="s">
        <v>455</v>
      </c>
    </row>
    <row r="505" spans="1:26" x14ac:dyDescent="0.25">
      <c r="A505">
        <v>786</v>
      </c>
      <c r="B505">
        <v>568</v>
      </c>
      <c r="C505" t="s">
        <v>22</v>
      </c>
      <c r="D505" t="s">
        <v>453</v>
      </c>
      <c r="E505" t="s">
        <v>27</v>
      </c>
      <c r="F505" t="s">
        <v>482</v>
      </c>
      <c r="G505" t="str">
        <f>VLOOKUP(F505,Hospitals!E:H,4,FALSE)</f>
        <v>29.04954 , 75.57425</v>
      </c>
      <c r="H505" s="1">
        <v>45462</v>
      </c>
      <c r="I505" s="1">
        <v>45462</v>
      </c>
      <c r="J505">
        <v>40.764000000000003</v>
      </c>
      <c r="K505">
        <v>37.869999999999997</v>
      </c>
      <c r="L505">
        <v>36.363999999999997</v>
      </c>
      <c r="M505">
        <v>29.411999999999999</v>
      </c>
      <c r="N505">
        <v>21.739000000000001</v>
      </c>
      <c r="O505">
        <v>21.739000000000001</v>
      </c>
      <c r="P505">
        <v>29.411999999999999</v>
      </c>
      <c r="Q505">
        <v>21.739000000000001</v>
      </c>
      <c r="R505">
        <v>21.739000000000001</v>
      </c>
      <c r="S505">
        <v>0</v>
      </c>
      <c r="T505">
        <v>0</v>
      </c>
      <c r="U505">
        <v>0</v>
      </c>
      <c r="V505">
        <f t="shared" si="21"/>
        <v>24.896999999999998</v>
      </c>
      <c r="W505">
        <f t="shared" si="22"/>
        <v>20.337</v>
      </c>
      <c r="X505">
        <f t="shared" si="23"/>
        <v>19.9605</v>
      </c>
      <c r="Y505">
        <v>13</v>
      </c>
      <c r="Z505" s="2" t="s">
        <v>455</v>
      </c>
    </row>
    <row r="506" spans="1:26" x14ac:dyDescent="0.25">
      <c r="A506">
        <v>834</v>
      </c>
      <c r="B506">
        <v>569</v>
      </c>
      <c r="C506" t="s">
        <v>22</v>
      </c>
      <c r="D506" t="s">
        <v>453</v>
      </c>
      <c r="E506" t="s">
        <v>27</v>
      </c>
      <c r="F506" t="s">
        <v>483</v>
      </c>
      <c r="G506" t="str">
        <f>VLOOKUP(F506,Hospitals!E:H,4,FALSE)</f>
        <v>28.99051 , 76.98735</v>
      </c>
      <c r="H506" s="1">
        <v>45467</v>
      </c>
      <c r="I506" s="1">
        <v>45467</v>
      </c>
      <c r="J506">
        <v>42.037999999999997</v>
      </c>
      <c r="K506">
        <v>39.052999999999997</v>
      </c>
      <c r="L506">
        <v>37.5</v>
      </c>
      <c r="M506">
        <v>11.765000000000001</v>
      </c>
      <c r="N506">
        <v>8.6959999999999997</v>
      </c>
      <c r="O506">
        <v>8.6959999999999997</v>
      </c>
      <c r="P506">
        <v>11.765000000000001</v>
      </c>
      <c r="Q506">
        <v>8.6959999999999997</v>
      </c>
      <c r="R506">
        <v>8.6959999999999997</v>
      </c>
      <c r="S506">
        <v>0</v>
      </c>
      <c r="T506">
        <v>0</v>
      </c>
      <c r="U506">
        <v>0</v>
      </c>
      <c r="V506">
        <f t="shared" si="21"/>
        <v>16.391999999999999</v>
      </c>
      <c r="W506">
        <f t="shared" si="22"/>
        <v>14.111249999999998</v>
      </c>
      <c r="X506">
        <f t="shared" si="23"/>
        <v>13.722999999999999</v>
      </c>
      <c r="Y506">
        <v>13</v>
      </c>
      <c r="Z506" s="2" t="s">
        <v>455</v>
      </c>
    </row>
    <row r="507" spans="1:26" x14ac:dyDescent="0.25">
      <c r="A507">
        <v>897</v>
      </c>
      <c r="B507">
        <v>57</v>
      </c>
      <c r="C507" t="s">
        <v>22</v>
      </c>
      <c r="D507" t="s">
        <v>328</v>
      </c>
      <c r="E507" t="s">
        <v>30</v>
      </c>
      <c r="F507" t="s">
        <v>484</v>
      </c>
      <c r="G507" t="str">
        <f>VLOOKUP(F507,Hospitals!E:H,4,FALSE)</f>
        <v>28.79525 , 76.15363</v>
      </c>
      <c r="H507" s="1">
        <v>45483</v>
      </c>
      <c r="I507" s="1">
        <v>45483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f t="shared" si="21"/>
        <v>0</v>
      </c>
      <c r="W507">
        <f t="shared" si="22"/>
        <v>0</v>
      </c>
      <c r="X507">
        <f t="shared" si="23"/>
        <v>0</v>
      </c>
      <c r="Y507">
        <v>13</v>
      </c>
      <c r="Z507" s="2" t="s">
        <v>330</v>
      </c>
    </row>
    <row r="508" spans="1:26" x14ac:dyDescent="0.25">
      <c r="A508">
        <v>461</v>
      </c>
      <c r="B508">
        <v>570</v>
      </c>
      <c r="C508" t="s">
        <v>22</v>
      </c>
      <c r="D508" t="s">
        <v>453</v>
      </c>
      <c r="E508" t="s">
        <v>77</v>
      </c>
      <c r="F508" t="s">
        <v>485</v>
      </c>
      <c r="G508" t="str">
        <f>VLOOKUP(F508,Hospitals!E:H,4,FALSE)</f>
        <v>29.95705 , 74.69795</v>
      </c>
      <c r="H508" s="1">
        <v>45391</v>
      </c>
      <c r="I508" s="1">
        <v>45391</v>
      </c>
      <c r="J508">
        <v>43.948999999999998</v>
      </c>
      <c r="K508">
        <v>42.012</v>
      </c>
      <c r="L508">
        <v>40.341000000000001</v>
      </c>
      <c r="M508">
        <v>35.293999999999997</v>
      </c>
      <c r="N508">
        <v>30.434999999999999</v>
      </c>
      <c r="O508">
        <v>30.434999999999999</v>
      </c>
      <c r="P508">
        <v>35.293999999999997</v>
      </c>
      <c r="Q508">
        <v>30.434999999999999</v>
      </c>
      <c r="R508">
        <v>30.434999999999999</v>
      </c>
      <c r="S508">
        <v>40</v>
      </c>
      <c r="T508">
        <v>16.667000000000002</v>
      </c>
      <c r="U508">
        <v>14.286</v>
      </c>
      <c r="V508">
        <f t="shared" si="21"/>
        <v>38.634249999999994</v>
      </c>
      <c r="W508">
        <f t="shared" si="22"/>
        <v>29.887250000000002</v>
      </c>
      <c r="X508">
        <f t="shared" si="23"/>
        <v>28.87425</v>
      </c>
      <c r="Y508">
        <v>13</v>
      </c>
      <c r="Z508" s="2" t="s">
        <v>455</v>
      </c>
    </row>
    <row r="509" spans="1:26" x14ac:dyDescent="0.25">
      <c r="A509">
        <v>421</v>
      </c>
      <c r="B509">
        <v>571</v>
      </c>
      <c r="C509" t="s">
        <v>22</v>
      </c>
      <c r="D509" t="s">
        <v>453</v>
      </c>
      <c r="E509" t="s">
        <v>77</v>
      </c>
      <c r="F509" t="s">
        <v>486</v>
      </c>
      <c r="G509" t="str">
        <f>VLOOKUP(F509,Hospitals!E:H,4,FALSE)</f>
        <v>29.78566 , 74.5293</v>
      </c>
      <c r="H509" s="1">
        <v>45371</v>
      </c>
      <c r="I509" s="1">
        <v>45371</v>
      </c>
      <c r="J509">
        <v>33.121000000000002</v>
      </c>
      <c r="K509">
        <v>31.361000000000001</v>
      </c>
      <c r="L509">
        <v>30.114000000000001</v>
      </c>
      <c r="M509">
        <v>47.058999999999997</v>
      </c>
      <c r="N509">
        <v>34.783000000000001</v>
      </c>
      <c r="O509">
        <v>34.783000000000001</v>
      </c>
      <c r="P509">
        <v>47.058999999999997</v>
      </c>
      <c r="Q509">
        <v>34.783000000000001</v>
      </c>
      <c r="R509">
        <v>34.783000000000001</v>
      </c>
      <c r="S509">
        <v>10</v>
      </c>
      <c r="T509">
        <v>0</v>
      </c>
      <c r="U509">
        <v>0</v>
      </c>
      <c r="V509">
        <f t="shared" si="21"/>
        <v>34.309750000000001</v>
      </c>
      <c r="W509">
        <f t="shared" si="22"/>
        <v>25.231750000000002</v>
      </c>
      <c r="X509">
        <f t="shared" si="23"/>
        <v>24.92</v>
      </c>
      <c r="Y509">
        <v>13</v>
      </c>
      <c r="Z509" s="2" t="s">
        <v>455</v>
      </c>
    </row>
    <row r="510" spans="1:26" x14ac:dyDescent="0.25">
      <c r="A510">
        <v>428</v>
      </c>
      <c r="B510">
        <v>571</v>
      </c>
      <c r="C510" t="s">
        <v>22</v>
      </c>
      <c r="D510" t="s">
        <v>453</v>
      </c>
      <c r="E510" t="s">
        <v>77</v>
      </c>
      <c r="F510" t="s">
        <v>486</v>
      </c>
      <c r="G510" t="str">
        <f>VLOOKUP(F510,Hospitals!E:H,4,FALSE)</f>
        <v>29.78566 , 74.5293</v>
      </c>
      <c r="H510" s="1">
        <v>45371</v>
      </c>
      <c r="I510" s="1">
        <v>45371</v>
      </c>
      <c r="J510">
        <v>33.121000000000002</v>
      </c>
      <c r="K510">
        <v>31.361000000000001</v>
      </c>
      <c r="L510">
        <v>30.114000000000001</v>
      </c>
      <c r="M510">
        <v>47.058999999999997</v>
      </c>
      <c r="N510">
        <v>34.783000000000001</v>
      </c>
      <c r="O510">
        <v>34.783000000000001</v>
      </c>
      <c r="P510">
        <v>47.058999999999997</v>
      </c>
      <c r="Q510">
        <v>34.783000000000001</v>
      </c>
      <c r="R510">
        <v>34.783000000000001</v>
      </c>
      <c r="S510">
        <v>10</v>
      </c>
      <c r="T510">
        <v>0</v>
      </c>
      <c r="U510">
        <v>0</v>
      </c>
      <c r="V510">
        <f t="shared" si="21"/>
        <v>34.309750000000001</v>
      </c>
      <c r="W510">
        <f t="shared" si="22"/>
        <v>25.231750000000002</v>
      </c>
      <c r="X510">
        <f t="shared" si="23"/>
        <v>24.92</v>
      </c>
      <c r="Y510">
        <v>13</v>
      </c>
      <c r="Z510" s="2" t="s">
        <v>455</v>
      </c>
    </row>
    <row r="511" spans="1:26" x14ac:dyDescent="0.25">
      <c r="A511">
        <v>420</v>
      </c>
      <c r="B511">
        <v>572</v>
      </c>
      <c r="C511" t="s">
        <v>22</v>
      </c>
      <c r="D511" t="s">
        <v>453</v>
      </c>
      <c r="E511" t="s">
        <v>77</v>
      </c>
      <c r="F511" t="s">
        <v>487</v>
      </c>
      <c r="G511" t="str">
        <f>VLOOKUP(F511,Hospitals!E:H,4,FALSE)</f>
        <v>30.43926 , 75.53932</v>
      </c>
      <c r="H511" s="1">
        <v>45377</v>
      </c>
      <c r="I511" s="1">
        <v>45377</v>
      </c>
      <c r="J511">
        <v>94.903999999999996</v>
      </c>
      <c r="K511">
        <v>92.899000000000001</v>
      </c>
      <c r="L511">
        <v>89.772999999999996</v>
      </c>
      <c r="M511">
        <v>100</v>
      </c>
      <c r="N511">
        <v>91.304000000000002</v>
      </c>
      <c r="O511">
        <v>91.304000000000002</v>
      </c>
      <c r="P511">
        <v>100</v>
      </c>
      <c r="Q511">
        <v>91.304000000000002</v>
      </c>
      <c r="R511">
        <v>91.304000000000002</v>
      </c>
      <c r="S511">
        <v>30</v>
      </c>
      <c r="T511">
        <v>16.667000000000002</v>
      </c>
      <c r="U511">
        <v>0</v>
      </c>
      <c r="V511">
        <f t="shared" si="21"/>
        <v>81.225999999999999</v>
      </c>
      <c r="W511">
        <f t="shared" si="22"/>
        <v>73.043499999999995</v>
      </c>
      <c r="X511">
        <f t="shared" si="23"/>
        <v>68.095249999999993</v>
      </c>
      <c r="Y511">
        <v>13</v>
      </c>
      <c r="Z511" s="2" t="s">
        <v>455</v>
      </c>
    </row>
    <row r="512" spans="1:26" x14ac:dyDescent="0.25">
      <c r="A512">
        <v>833</v>
      </c>
      <c r="B512">
        <v>58</v>
      </c>
      <c r="C512" t="s">
        <v>22</v>
      </c>
      <c r="D512" t="s">
        <v>328</v>
      </c>
      <c r="E512" t="s">
        <v>30</v>
      </c>
      <c r="F512" t="s">
        <v>488</v>
      </c>
      <c r="G512" t="str">
        <f>VLOOKUP(F512,Hospitals!E:H,4,FALSE)</f>
        <v>28.80905 , 76.1527</v>
      </c>
      <c r="H512" s="1">
        <v>45481</v>
      </c>
      <c r="I512" s="1">
        <v>45481</v>
      </c>
      <c r="J512">
        <v>24.841000000000001</v>
      </c>
      <c r="K512">
        <v>24.852</v>
      </c>
      <c r="L512">
        <v>23.864000000000001</v>
      </c>
      <c r="M512">
        <v>29.411999999999999</v>
      </c>
      <c r="N512">
        <v>39.130000000000003</v>
      </c>
      <c r="O512">
        <v>39.130000000000003</v>
      </c>
      <c r="P512">
        <v>29.411999999999999</v>
      </c>
      <c r="Q512">
        <v>39.130000000000003</v>
      </c>
      <c r="R512">
        <v>39.130000000000003</v>
      </c>
      <c r="S512">
        <v>10</v>
      </c>
      <c r="T512">
        <v>8.3330000000000002</v>
      </c>
      <c r="U512">
        <v>0</v>
      </c>
      <c r="V512">
        <f t="shared" si="21"/>
        <v>23.416249999999998</v>
      </c>
      <c r="W512">
        <f t="shared" si="22"/>
        <v>27.861249999999998</v>
      </c>
      <c r="X512">
        <f t="shared" si="23"/>
        <v>25.530999999999999</v>
      </c>
      <c r="Y512">
        <v>13</v>
      </c>
      <c r="Z512" s="2" t="s">
        <v>330</v>
      </c>
    </row>
    <row r="513" spans="1:26" x14ac:dyDescent="0.25">
      <c r="A513">
        <v>455</v>
      </c>
      <c r="B513">
        <v>580</v>
      </c>
      <c r="C513" t="s">
        <v>22</v>
      </c>
      <c r="D513" t="s">
        <v>140</v>
      </c>
      <c r="E513" t="s">
        <v>30</v>
      </c>
      <c r="F513" t="s">
        <v>489</v>
      </c>
      <c r="G513" t="str">
        <f>VLOOKUP(F513,Hospitals!E:H,4,FALSE)</f>
        <v>30.14962 , 77.30608</v>
      </c>
      <c r="H513" s="1">
        <v>45404</v>
      </c>
      <c r="I513" s="1">
        <v>45404</v>
      </c>
      <c r="J513">
        <v>68.790000000000006</v>
      </c>
      <c r="K513">
        <v>66.272000000000006</v>
      </c>
      <c r="L513">
        <v>64.204999999999998</v>
      </c>
      <c r="M513">
        <v>29.411999999999999</v>
      </c>
      <c r="N513">
        <v>30.434999999999999</v>
      </c>
      <c r="O513">
        <v>30.434999999999999</v>
      </c>
      <c r="P513">
        <v>29.411999999999999</v>
      </c>
      <c r="Q513">
        <v>30.434999999999999</v>
      </c>
      <c r="R513">
        <v>30.434999999999999</v>
      </c>
      <c r="S513">
        <v>0</v>
      </c>
      <c r="T513">
        <v>0</v>
      </c>
      <c r="U513">
        <v>0</v>
      </c>
      <c r="V513">
        <f t="shared" si="21"/>
        <v>31.903500000000001</v>
      </c>
      <c r="W513">
        <f t="shared" si="22"/>
        <v>31.785500000000003</v>
      </c>
      <c r="X513">
        <f t="shared" si="23"/>
        <v>31.268750000000001</v>
      </c>
      <c r="Y513">
        <v>13</v>
      </c>
      <c r="Z513" s="2" t="s">
        <v>142</v>
      </c>
    </row>
    <row r="514" spans="1:26" x14ac:dyDescent="0.25">
      <c r="A514">
        <v>609</v>
      </c>
      <c r="B514">
        <v>581</v>
      </c>
      <c r="C514" t="s">
        <v>22</v>
      </c>
      <c r="D514" t="s">
        <v>140</v>
      </c>
      <c r="E514" t="s">
        <v>30</v>
      </c>
      <c r="F514" t="s">
        <v>490</v>
      </c>
      <c r="G514" t="str">
        <f>VLOOKUP(F514,Hospitals!E:H,4,FALSE)</f>
        <v>30.14757 , 77.30394</v>
      </c>
      <c r="H514" s="1">
        <v>45390</v>
      </c>
      <c r="I514" s="1">
        <v>45390</v>
      </c>
      <c r="J514">
        <v>71.337999999999994</v>
      </c>
      <c r="K514">
        <v>68.638999999999996</v>
      </c>
      <c r="L514">
        <v>66.477000000000004</v>
      </c>
      <c r="M514">
        <v>64.706000000000003</v>
      </c>
      <c r="N514">
        <v>56.521999999999998</v>
      </c>
      <c r="O514">
        <v>56.521999999999998</v>
      </c>
      <c r="P514">
        <v>64.706000000000003</v>
      </c>
      <c r="Q514">
        <v>56.521999999999998</v>
      </c>
      <c r="R514">
        <v>56.521999999999998</v>
      </c>
      <c r="S514">
        <v>20</v>
      </c>
      <c r="T514">
        <v>8.3330000000000002</v>
      </c>
      <c r="U514">
        <v>0</v>
      </c>
      <c r="V514">
        <f t="shared" si="21"/>
        <v>55.1875</v>
      </c>
      <c r="W514">
        <f t="shared" si="22"/>
        <v>47.503999999999998</v>
      </c>
      <c r="X514">
        <f t="shared" si="23"/>
        <v>44.880249999999997</v>
      </c>
      <c r="Y514">
        <v>13</v>
      </c>
      <c r="Z514" s="2" t="s">
        <v>142</v>
      </c>
    </row>
    <row r="515" spans="1:26" x14ac:dyDescent="0.25">
      <c r="A515">
        <v>558</v>
      </c>
      <c r="B515">
        <v>582</v>
      </c>
      <c r="C515" t="s">
        <v>22</v>
      </c>
      <c r="D515" t="s">
        <v>140</v>
      </c>
      <c r="E515" t="s">
        <v>30</v>
      </c>
      <c r="F515" t="s">
        <v>491</v>
      </c>
      <c r="G515" t="str">
        <f>VLOOKUP(F515,Hospitals!E:H,4,FALSE)</f>
        <v>30.19457 , 77.29798</v>
      </c>
      <c r="H515" s="1">
        <v>45441</v>
      </c>
      <c r="I515" s="1">
        <v>45441</v>
      </c>
      <c r="J515">
        <v>43.948999999999998</v>
      </c>
      <c r="K515">
        <v>42.603999999999999</v>
      </c>
      <c r="L515">
        <v>40.908999999999999</v>
      </c>
      <c r="M515">
        <v>41.176000000000002</v>
      </c>
      <c r="N515">
        <v>39.130000000000003</v>
      </c>
      <c r="O515">
        <v>39.130000000000003</v>
      </c>
      <c r="P515">
        <v>41.176000000000002</v>
      </c>
      <c r="Q515">
        <v>39.130000000000003</v>
      </c>
      <c r="R515">
        <v>39.130000000000003</v>
      </c>
      <c r="S515">
        <v>10</v>
      </c>
      <c r="T515">
        <v>8.3330000000000002</v>
      </c>
      <c r="U515">
        <v>0</v>
      </c>
      <c r="V515">
        <f t="shared" ref="V515:V578" si="24">AVERAGE(J515,M515,P515,S515)</f>
        <v>34.075249999999997</v>
      </c>
      <c r="W515">
        <f t="shared" ref="W515:W578" si="25">AVERAGE(K515,N515,Q515,T515)</f>
        <v>32.299250000000001</v>
      </c>
      <c r="X515">
        <f t="shared" ref="X515:X578" si="26">AVERAGE(L515,O515,R515,U515)</f>
        <v>29.792250000000003</v>
      </c>
      <c r="Y515">
        <v>13</v>
      </c>
      <c r="Z515" s="2" t="s">
        <v>142</v>
      </c>
    </row>
    <row r="516" spans="1:26" x14ac:dyDescent="0.25">
      <c r="A516">
        <v>633</v>
      </c>
      <c r="B516">
        <v>583</v>
      </c>
      <c r="C516" t="s">
        <v>22</v>
      </c>
      <c r="D516" t="s">
        <v>140</v>
      </c>
      <c r="E516" t="s">
        <v>30</v>
      </c>
      <c r="F516" t="s">
        <v>492</v>
      </c>
      <c r="G516" t="str">
        <f>VLOOKUP(F516,Hospitals!E:H,4,FALSE)</f>
        <v>30.14789 , 77.30548</v>
      </c>
      <c r="H516" s="1">
        <v>45394</v>
      </c>
      <c r="I516" s="1">
        <v>45394</v>
      </c>
      <c r="J516">
        <v>99.363</v>
      </c>
      <c r="K516">
        <v>98.816999999999993</v>
      </c>
      <c r="L516">
        <v>98.864000000000004</v>
      </c>
      <c r="M516">
        <v>100</v>
      </c>
      <c r="N516">
        <v>100</v>
      </c>
      <c r="O516">
        <v>100</v>
      </c>
      <c r="P516">
        <v>100</v>
      </c>
      <c r="Q516">
        <v>100</v>
      </c>
      <c r="R516">
        <v>100</v>
      </c>
      <c r="S516">
        <v>20</v>
      </c>
      <c r="T516">
        <v>25</v>
      </c>
      <c r="U516">
        <v>7.1429999999999998</v>
      </c>
      <c r="V516">
        <f t="shared" si="24"/>
        <v>79.84075</v>
      </c>
      <c r="W516">
        <f t="shared" si="25"/>
        <v>80.954250000000002</v>
      </c>
      <c r="X516">
        <f t="shared" si="26"/>
        <v>76.501750000000001</v>
      </c>
      <c r="Y516">
        <v>13</v>
      </c>
      <c r="Z516" s="2" t="s">
        <v>142</v>
      </c>
    </row>
    <row r="517" spans="1:26" x14ac:dyDescent="0.25">
      <c r="A517">
        <v>545</v>
      </c>
      <c r="B517">
        <v>584</v>
      </c>
      <c r="C517" t="s">
        <v>22</v>
      </c>
      <c r="D517" t="s">
        <v>140</v>
      </c>
      <c r="E517" t="s">
        <v>30</v>
      </c>
      <c r="F517" t="s">
        <v>493</v>
      </c>
      <c r="G517" t="str">
        <f>VLOOKUP(F517,Hospitals!E:H,4,FALSE)</f>
        <v>30.15195 , 77.30782</v>
      </c>
      <c r="H517" s="1">
        <v>45387</v>
      </c>
      <c r="I517" s="1">
        <v>45387</v>
      </c>
      <c r="J517">
        <v>26.114999999999998</v>
      </c>
      <c r="K517">
        <v>24.852</v>
      </c>
      <c r="L517">
        <v>23.864000000000001</v>
      </c>
      <c r="M517">
        <v>52.941000000000003</v>
      </c>
      <c r="N517">
        <v>47.826000000000001</v>
      </c>
      <c r="O517">
        <v>47.826000000000001</v>
      </c>
      <c r="P517">
        <v>52.941000000000003</v>
      </c>
      <c r="Q517">
        <v>47.826000000000001</v>
      </c>
      <c r="R517">
        <v>47.826000000000001</v>
      </c>
      <c r="S517">
        <v>0</v>
      </c>
      <c r="T517">
        <v>0</v>
      </c>
      <c r="U517">
        <v>0</v>
      </c>
      <c r="V517">
        <f t="shared" si="24"/>
        <v>32.999250000000004</v>
      </c>
      <c r="W517">
        <f t="shared" si="25"/>
        <v>30.125999999999998</v>
      </c>
      <c r="X517">
        <f t="shared" si="26"/>
        <v>29.878999999999998</v>
      </c>
      <c r="Y517">
        <v>13</v>
      </c>
      <c r="Z517" s="2" t="s">
        <v>142</v>
      </c>
    </row>
    <row r="518" spans="1:26" x14ac:dyDescent="0.25">
      <c r="A518">
        <v>612</v>
      </c>
      <c r="B518">
        <v>585</v>
      </c>
      <c r="C518" t="s">
        <v>22</v>
      </c>
      <c r="D518" t="s">
        <v>140</v>
      </c>
      <c r="E518" t="s">
        <v>30</v>
      </c>
      <c r="F518" t="s">
        <v>494</v>
      </c>
      <c r="G518" t="str">
        <f>VLOOKUP(F518,Hospitals!E:H,4,FALSE)</f>
        <v>30.14914 , 77.29797</v>
      </c>
      <c r="H518" s="1">
        <v>45390</v>
      </c>
      <c r="I518" s="1">
        <v>45390</v>
      </c>
      <c r="J518">
        <v>70.063999999999993</v>
      </c>
      <c r="K518">
        <v>68.046999999999997</v>
      </c>
      <c r="L518">
        <v>65.340999999999994</v>
      </c>
      <c r="M518">
        <v>29.411999999999999</v>
      </c>
      <c r="N518">
        <v>30.434999999999999</v>
      </c>
      <c r="O518">
        <v>30.434999999999999</v>
      </c>
      <c r="P518">
        <v>29.411999999999999</v>
      </c>
      <c r="Q518">
        <v>30.434999999999999</v>
      </c>
      <c r="R518">
        <v>30.434999999999999</v>
      </c>
      <c r="S518">
        <v>20</v>
      </c>
      <c r="T518">
        <v>16.667000000000002</v>
      </c>
      <c r="U518">
        <v>0</v>
      </c>
      <c r="V518">
        <f t="shared" si="24"/>
        <v>37.222000000000001</v>
      </c>
      <c r="W518">
        <f t="shared" si="25"/>
        <v>36.396000000000001</v>
      </c>
      <c r="X518">
        <f t="shared" si="26"/>
        <v>31.55275</v>
      </c>
      <c r="Y518">
        <v>13</v>
      </c>
      <c r="Z518" s="2" t="s">
        <v>142</v>
      </c>
    </row>
    <row r="519" spans="1:26" x14ac:dyDescent="0.25">
      <c r="A519">
        <v>513</v>
      </c>
      <c r="B519">
        <v>586</v>
      </c>
      <c r="C519" t="s">
        <v>22</v>
      </c>
      <c r="D519" t="s">
        <v>140</v>
      </c>
      <c r="E519" t="s">
        <v>30</v>
      </c>
      <c r="F519" t="s">
        <v>133</v>
      </c>
      <c r="G519" t="str">
        <f>VLOOKUP(F519,Hospitals!E:H,4,FALSE)</f>
        <v>30.15485 , 77.30833</v>
      </c>
      <c r="H519" s="1">
        <v>45387</v>
      </c>
      <c r="I519" s="1">
        <v>45387</v>
      </c>
      <c r="J519">
        <v>91.72</v>
      </c>
      <c r="K519">
        <v>89.941000000000003</v>
      </c>
      <c r="L519">
        <v>88.635999999999996</v>
      </c>
      <c r="M519">
        <v>41.176000000000002</v>
      </c>
      <c r="N519">
        <v>47.826000000000001</v>
      </c>
      <c r="O519">
        <v>47.826000000000001</v>
      </c>
      <c r="P519">
        <v>41.176000000000002</v>
      </c>
      <c r="Q519">
        <v>47.826000000000001</v>
      </c>
      <c r="R519">
        <v>47.826000000000001</v>
      </c>
      <c r="S519">
        <v>0</v>
      </c>
      <c r="T519">
        <v>8.3330000000000002</v>
      </c>
      <c r="U519">
        <v>0</v>
      </c>
      <c r="V519">
        <f t="shared" si="24"/>
        <v>43.518000000000001</v>
      </c>
      <c r="W519">
        <f t="shared" si="25"/>
        <v>48.481499999999997</v>
      </c>
      <c r="X519">
        <f t="shared" si="26"/>
        <v>46.071999999999996</v>
      </c>
      <c r="Y519">
        <v>13</v>
      </c>
      <c r="Z519" s="2" t="s">
        <v>142</v>
      </c>
    </row>
    <row r="520" spans="1:26" x14ac:dyDescent="0.25">
      <c r="A520">
        <v>610</v>
      </c>
      <c r="B520">
        <v>587</v>
      </c>
      <c r="C520" t="s">
        <v>22</v>
      </c>
      <c r="D520" t="s">
        <v>140</v>
      </c>
      <c r="E520" t="s">
        <v>30</v>
      </c>
      <c r="F520" t="s">
        <v>495</v>
      </c>
      <c r="G520" t="str">
        <f>VLOOKUP(F520,Hospitals!E:H,4,FALSE)</f>
        <v>30.14914 , 77.29797</v>
      </c>
      <c r="H520" s="1">
        <v>45388</v>
      </c>
      <c r="I520" s="1">
        <v>45388</v>
      </c>
      <c r="J520">
        <v>69.427000000000007</v>
      </c>
      <c r="K520">
        <v>66.864000000000004</v>
      </c>
      <c r="L520">
        <v>64.772999999999996</v>
      </c>
      <c r="M520">
        <v>29.411999999999999</v>
      </c>
      <c r="N520">
        <v>30.434999999999999</v>
      </c>
      <c r="O520">
        <v>30.434999999999999</v>
      </c>
      <c r="P520">
        <v>29.411999999999999</v>
      </c>
      <c r="Q520">
        <v>30.434999999999999</v>
      </c>
      <c r="R520">
        <v>30.434999999999999</v>
      </c>
      <c r="S520">
        <v>0</v>
      </c>
      <c r="T520">
        <v>0</v>
      </c>
      <c r="U520">
        <v>0</v>
      </c>
      <c r="V520">
        <f t="shared" si="24"/>
        <v>32.062750000000001</v>
      </c>
      <c r="W520">
        <f t="shared" si="25"/>
        <v>31.933500000000002</v>
      </c>
      <c r="X520">
        <f t="shared" si="26"/>
        <v>31.41075</v>
      </c>
      <c r="Y520">
        <v>13</v>
      </c>
      <c r="Z520" s="2" t="s">
        <v>142</v>
      </c>
    </row>
    <row r="521" spans="1:26" x14ac:dyDescent="0.25">
      <c r="A521">
        <v>655</v>
      </c>
      <c r="B521">
        <v>588</v>
      </c>
      <c r="C521" t="s">
        <v>22</v>
      </c>
      <c r="D521" t="s">
        <v>140</v>
      </c>
      <c r="E521" t="s">
        <v>30</v>
      </c>
      <c r="F521" t="s">
        <v>496</v>
      </c>
      <c r="G521" t="str">
        <f>VLOOKUP(F521,Hospitals!E:H,4,FALSE)</f>
        <v>30.15548 , 77.29419</v>
      </c>
      <c r="H521" s="1">
        <v>45409</v>
      </c>
      <c r="I521" s="1">
        <v>45409</v>
      </c>
      <c r="J521">
        <v>85.35</v>
      </c>
      <c r="K521">
        <v>83.432000000000002</v>
      </c>
      <c r="L521">
        <v>81.817999999999998</v>
      </c>
      <c r="M521">
        <v>76.471000000000004</v>
      </c>
      <c r="N521">
        <v>65.216999999999999</v>
      </c>
      <c r="O521">
        <v>65.216999999999999</v>
      </c>
      <c r="P521">
        <v>76.471000000000004</v>
      </c>
      <c r="Q521">
        <v>65.216999999999999</v>
      </c>
      <c r="R521">
        <v>65.216999999999999</v>
      </c>
      <c r="S521">
        <v>0</v>
      </c>
      <c r="T521">
        <v>0</v>
      </c>
      <c r="U521">
        <v>0</v>
      </c>
      <c r="V521">
        <f t="shared" si="24"/>
        <v>59.573</v>
      </c>
      <c r="W521">
        <f t="shared" si="25"/>
        <v>53.466499999999996</v>
      </c>
      <c r="X521">
        <f t="shared" si="26"/>
        <v>53.063000000000002</v>
      </c>
      <c r="Y521">
        <v>13</v>
      </c>
      <c r="Z521" s="2" t="s">
        <v>142</v>
      </c>
    </row>
    <row r="522" spans="1:26" x14ac:dyDescent="0.25">
      <c r="A522">
        <v>798</v>
      </c>
      <c r="B522">
        <v>59</v>
      </c>
      <c r="C522" t="s">
        <v>22</v>
      </c>
      <c r="D522" t="s">
        <v>328</v>
      </c>
      <c r="E522" t="s">
        <v>30</v>
      </c>
      <c r="F522" t="s">
        <v>497</v>
      </c>
      <c r="G522" t="str">
        <f>VLOOKUP(F522,Hospitals!E:H,4,FALSE)</f>
        <v>28.79893 , 76.14342</v>
      </c>
      <c r="H522" s="1">
        <v>45481</v>
      </c>
      <c r="I522" s="1">
        <v>45481</v>
      </c>
      <c r="J522">
        <v>89.808999999999997</v>
      </c>
      <c r="K522">
        <v>86.981999999999999</v>
      </c>
      <c r="L522">
        <v>83.522999999999996</v>
      </c>
      <c r="M522">
        <v>82.352999999999994</v>
      </c>
      <c r="N522">
        <v>78.260999999999996</v>
      </c>
      <c r="O522">
        <v>78.260999999999996</v>
      </c>
      <c r="P522">
        <v>82.352999999999994</v>
      </c>
      <c r="Q522">
        <v>78.260999999999996</v>
      </c>
      <c r="R522">
        <v>78.260999999999996</v>
      </c>
      <c r="S522">
        <v>0</v>
      </c>
      <c r="T522">
        <v>0</v>
      </c>
      <c r="U522">
        <v>0</v>
      </c>
      <c r="V522">
        <f t="shared" si="24"/>
        <v>63.628749999999997</v>
      </c>
      <c r="W522">
        <f t="shared" si="25"/>
        <v>60.875999999999998</v>
      </c>
      <c r="X522">
        <f t="shared" si="26"/>
        <v>60.011249999999997</v>
      </c>
      <c r="Y522">
        <v>13</v>
      </c>
      <c r="Z522" s="2" t="s">
        <v>330</v>
      </c>
    </row>
    <row r="523" spans="1:26" x14ac:dyDescent="0.25">
      <c r="A523">
        <v>630</v>
      </c>
      <c r="B523">
        <v>590</v>
      </c>
      <c r="C523" t="s">
        <v>22</v>
      </c>
      <c r="D523" t="s">
        <v>140</v>
      </c>
      <c r="E523" t="s">
        <v>30</v>
      </c>
      <c r="F523" t="s">
        <v>366</v>
      </c>
      <c r="G523" t="str">
        <f>VLOOKUP(F523,Hospitals!E:H,4,FALSE)</f>
        <v>30.15311 , 77.31937</v>
      </c>
      <c r="H523" s="1">
        <v>45393</v>
      </c>
      <c r="I523" t="s">
        <v>35</v>
      </c>
      <c r="J523">
        <v>83.438999999999993</v>
      </c>
      <c r="K523">
        <v>80.472999999999999</v>
      </c>
      <c r="L523">
        <v>77.840999999999994</v>
      </c>
      <c r="M523">
        <v>88.234999999999999</v>
      </c>
      <c r="N523">
        <v>91.304000000000002</v>
      </c>
      <c r="O523">
        <v>91.304000000000002</v>
      </c>
      <c r="P523">
        <v>88.234999999999999</v>
      </c>
      <c r="Q523">
        <v>91.304000000000002</v>
      </c>
      <c r="R523">
        <v>91.304000000000002</v>
      </c>
      <c r="S523">
        <v>20</v>
      </c>
      <c r="T523">
        <v>16.667000000000002</v>
      </c>
      <c r="U523">
        <v>7.1429999999999998</v>
      </c>
      <c r="V523">
        <f t="shared" si="24"/>
        <v>69.977249999999998</v>
      </c>
      <c r="W523">
        <f t="shared" si="25"/>
        <v>69.937000000000012</v>
      </c>
      <c r="X523">
        <f t="shared" si="26"/>
        <v>66.897999999999982</v>
      </c>
      <c r="Y523">
        <v>13</v>
      </c>
      <c r="Z523" s="2" t="s">
        <v>142</v>
      </c>
    </row>
    <row r="524" spans="1:26" x14ac:dyDescent="0.25">
      <c r="A524">
        <v>625</v>
      </c>
      <c r="B524">
        <v>590</v>
      </c>
      <c r="C524" t="s">
        <v>22</v>
      </c>
      <c r="D524" t="s">
        <v>140</v>
      </c>
      <c r="E524" t="s">
        <v>30</v>
      </c>
      <c r="F524" t="s">
        <v>366</v>
      </c>
      <c r="G524" t="str">
        <f>VLOOKUP(F524,Hospitals!E:H,4,FALSE)</f>
        <v>30.15311 , 77.31937</v>
      </c>
      <c r="H524" s="1">
        <v>45392</v>
      </c>
      <c r="I524" s="1">
        <v>45392</v>
      </c>
      <c r="J524">
        <v>83.438999999999993</v>
      </c>
      <c r="K524">
        <v>80.472999999999999</v>
      </c>
      <c r="L524">
        <v>77.840999999999994</v>
      </c>
      <c r="M524">
        <v>88.234999999999999</v>
      </c>
      <c r="N524">
        <v>91.304000000000002</v>
      </c>
      <c r="O524">
        <v>91.304000000000002</v>
      </c>
      <c r="P524">
        <v>88.234999999999999</v>
      </c>
      <c r="Q524">
        <v>91.304000000000002</v>
      </c>
      <c r="R524">
        <v>91.304000000000002</v>
      </c>
      <c r="S524">
        <v>20</v>
      </c>
      <c r="T524">
        <v>16.667000000000002</v>
      </c>
      <c r="U524">
        <v>7.1429999999999998</v>
      </c>
      <c r="V524">
        <f t="shared" si="24"/>
        <v>69.977249999999998</v>
      </c>
      <c r="W524">
        <f t="shared" si="25"/>
        <v>69.937000000000012</v>
      </c>
      <c r="X524">
        <f t="shared" si="26"/>
        <v>66.897999999999982</v>
      </c>
      <c r="Y524">
        <v>13</v>
      </c>
      <c r="Z524" s="2" t="s">
        <v>142</v>
      </c>
    </row>
    <row r="525" spans="1:26" x14ac:dyDescent="0.25">
      <c r="A525">
        <v>567</v>
      </c>
      <c r="B525">
        <v>591</v>
      </c>
      <c r="C525" t="s">
        <v>22</v>
      </c>
      <c r="D525" t="s">
        <v>140</v>
      </c>
      <c r="E525" t="s">
        <v>30</v>
      </c>
      <c r="F525" t="s">
        <v>498</v>
      </c>
      <c r="G525" t="str">
        <f>VLOOKUP(F525,Hospitals!E:H,4,FALSE)</f>
        <v>30.16015 , 77.29373</v>
      </c>
      <c r="H525" s="1">
        <v>45394</v>
      </c>
      <c r="I525" s="1">
        <v>45394</v>
      </c>
      <c r="J525">
        <v>14.013</v>
      </c>
      <c r="K525">
        <v>13.609</v>
      </c>
      <c r="L525">
        <v>13.068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20</v>
      </c>
      <c r="T525">
        <v>16.667000000000002</v>
      </c>
      <c r="U525">
        <v>7.1429999999999998</v>
      </c>
      <c r="V525">
        <f t="shared" si="24"/>
        <v>8.5032499999999995</v>
      </c>
      <c r="W525">
        <f t="shared" si="25"/>
        <v>7.5690000000000008</v>
      </c>
      <c r="X525">
        <f t="shared" si="26"/>
        <v>5.0527499999999996</v>
      </c>
      <c r="Y525">
        <v>13</v>
      </c>
      <c r="Z525" s="2" t="s">
        <v>142</v>
      </c>
    </row>
    <row r="526" spans="1:26" x14ac:dyDescent="0.25">
      <c r="A526">
        <v>599</v>
      </c>
      <c r="B526">
        <v>592</v>
      </c>
      <c r="C526" t="s">
        <v>22</v>
      </c>
      <c r="D526" t="s">
        <v>140</v>
      </c>
      <c r="E526" t="s">
        <v>30</v>
      </c>
      <c r="F526" t="s">
        <v>499</v>
      </c>
      <c r="G526" t="str">
        <f>VLOOKUP(F526,Hospitals!E:H,4,FALSE)</f>
        <v>30.15321 , 77.27499</v>
      </c>
      <c r="H526" s="1">
        <v>45386</v>
      </c>
      <c r="I526" s="1">
        <v>45386</v>
      </c>
      <c r="J526">
        <v>97.451999999999998</v>
      </c>
      <c r="K526">
        <v>97.632999999999996</v>
      </c>
      <c r="L526">
        <v>97.727000000000004</v>
      </c>
      <c r="M526">
        <v>100</v>
      </c>
      <c r="N526">
        <v>95.652000000000001</v>
      </c>
      <c r="O526">
        <v>95.652000000000001</v>
      </c>
      <c r="P526">
        <v>100</v>
      </c>
      <c r="Q526">
        <v>95.652000000000001</v>
      </c>
      <c r="R526">
        <v>95.652000000000001</v>
      </c>
      <c r="S526">
        <v>20</v>
      </c>
      <c r="T526">
        <v>25</v>
      </c>
      <c r="U526">
        <v>14.286</v>
      </c>
      <c r="V526">
        <f t="shared" si="24"/>
        <v>79.363</v>
      </c>
      <c r="W526">
        <f t="shared" si="25"/>
        <v>78.484250000000003</v>
      </c>
      <c r="X526">
        <f t="shared" si="26"/>
        <v>75.829250000000002</v>
      </c>
      <c r="Y526">
        <v>13</v>
      </c>
      <c r="Z526" s="2" t="s">
        <v>142</v>
      </c>
    </row>
    <row r="527" spans="1:26" x14ac:dyDescent="0.25">
      <c r="A527">
        <v>603</v>
      </c>
      <c r="B527">
        <v>593</v>
      </c>
      <c r="C527" t="s">
        <v>22</v>
      </c>
      <c r="D527" t="s">
        <v>140</v>
      </c>
      <c r="E527" t="s">
        <v>30</v>
      </c>
      <c r="F527" t="s">
        <v>500</v>
      </c>
      <c r="G527" t="str">
        <f>VLOOKUP(F527,Hospitals!E:H,4,FALSE)</f>
        <v>30.17415 , 77.29019</v>
      </c>
      <c r="H527" s="1">
        <v>45390</v>
      </c>
      <c r="I527" s="1">
        <v>45390</v>
      </c>
      <c r="J527">
        <v>57.962000000000003</v>
      </c>
      <c r="K527">
        <v>55.03</v>
      </c>
      <c r="L527">
        <v>53.976999999999997</v>
      </c>
      <c r="M527">
        <v>29.411999999999999</v>
      </c>
      <c r="N527">
        <v>34.783000000000001</v>
      </c>
      <c r="O527">
        <v>34.783000000000001</v>
      </c>
      <c r="P527">
        <v>29.411999999999999</v>
      </c>
      <c r="Q527">
        <v>34.783000000000001</v>
      </c>
      <c r="R527">
        <v>34.783000000000001</v>
      </c>
      <c r="S527">
        <v>0</v>
      </c>
      <c r="T527">
        <v>0</v>
      </c>
      <c r="U527">
        <v>0</v>
      </c>
      <c r="V527">
        <f t="shared" si="24"/>
        <v>29.1965</v>
      </c>
      <c r="W527">
        <f t="shared" si="25"/>
        <v>31.149000000000001</v>
      </c>
      <c r="X527">
        <f t="shared" si="26"/>
        <v>30.885749999999998</v>
      </c>
      <c r="Y527">
        <v>13</v>
      </c>
      <c r="Z527" s="2" t="s">
        <v>142</v>
      </c>
    </row>
    <row r="528" spans="1:26" x14ac:dyDescent="0.25">
      <c r="A528">
        <v>554</v>
      </c>
      <c r="B528">
        <v>594</v>
      </c>
      <c r="C528" t="s">
        <v>22</v>
      </c>
      <c r="D528" t="s">
        <v>140</v>
      </c>
      <c r="E528" t="s">
        <v>30</v>
      </c>
      <c r="F528" t="s">
        <v>501</v>
      </c>
      <c r="G528" t="str">
        <f>VLOOKUP(F528,Hospitals!E:H,4,FALSE)</f>
        <v>30.17277 , 77.29971</v>
      </c>
      <c r="H528" s="1">
        <v>45388</v>
      </c>
      <c r="I528" s="1">
        <v>45388</v>
      </c>
      <c r="J528">
        <v>83.438999999999993</v>
      </c>
      <c r="K528">
        <v>81.064999999999998</v>
      </c>
      <c r="L528">
        <v>78.409000000000006</v>
      </c>
      <c r="M528">
        <v>70.587999999999994</v>
      </c>
      <c r="N528">
        <v>69.564999999999998</v>
      </c>
      <c r="O528">
        <v>69.564999999999998</v>
      </c>
      <c r="P528">
        <v>70.587999999999994</v>
      </c>
      <c r="Q528">
        <v>69.564999999999998</v>
      </c>
      <c r="R528">
        <v>69.564999999999998</v>
      </c>
      <c r="S528">
        <v>30</v>
      </c>
      <c r="T528">
        <v>16.667000000000002</v>
      </c>
      <c r="U528">
        <v>7.1429999999999998</v>
      </c>
      <c r="V528">
        <f t="shared" si="24"/>
        <v>63.653749999999995</v>
      </c>
      <c r="W528">
        <f t="shared" si="25"/>
        <v>59.215499999999999</v>
      </c>
      <c r="X528">
        <f t="shared" si="26"/>
        <v>56.170499999999997</v>
      </c>
      <c r="Y528">
        <v>13</v>
      </c>
      <c r="Z528" s="2" t="s">
        <v>142</v>
      </c>
    </row>
    <row r="529" spans="1:26" x14ac:dyDescent="0.25">
      <c r="A529">
        <v>555</v>
      </c>
      <c r="B529">
        <v>595</v>
      </c>
      <c r="C529" t="s">
        <v>22</v>
      </c>
      <c r="D529" t="s">
        <v>140</v>
      </c>
      <c r="E529" t="s">
        <v>30</v>
      </c>
      <c r="F529" t="s">
        <v>502</v>
      </c>
      <c r="G529" t="str">
        <f>VLOOKUP(F529,Hospitals!E:H,4,FALSE)</f>
        <v>30.33267 , 76.81442</v>
      </c>
      <c r="H529" s="1">
        <v>45393</v>
      </c>
      <c r="I529" s="1">
        <v>45393</v>
      </c>
      <c r="J529">
        <v>66.242000000000004</v>
      </c>
      <c r="K529">
        <v>65.680000000000007</v>
      </c>
      <c r="L529">
        <v>63.636000000000003</v>
      </c>
      <c r="M529">
        <v>52.941000000000003</v>
      </c>
      <c r="N529">
        <v>52.173999999999999</v>
      </c>
      <c r="O529">
        <v>52.173999999999999</v>
      </c>
      <c r="P529">
        <v>52.941000000000003</v>
      </c>
      <c r="Q529">
        <v>52.173999999999999</v>
      </c>
      <c r="R529">
        <v>52.173999999999999</v>
      </c>
      <c r="S529">
        <v>0</v>
      </c>
      <c r="T529">
        <v>0</v>
      </c>
      <c r="U529">
        <v>0</v>
      </c>
      <c r="V529">
        <f t="shared" si="24"/>
        <v>43.031000000000006</v>
      </c>
      <c r="W529">
        <f t="shared" si="25"/>
        <v>42.507000000000005</v>
      </c>
      <c r="X529">
        <f t="shared" si="26"/>
        <v>41.996000000000002</v>
      </c>
      <c r="Y529">
        <v>13</v>
      </c>
      <c r="Z529" s="2" t="s">
        <v>142</v>
      </c>
    </row>
    <row r="530" spans="1:26" x14ac:dyDescent="0.25">
      <c r="A530">
        <v>518</v>
      </c>
      <c r="B530">
        <v>596</v>
      </c>
      <c r="C530" t="s">
        <v>22</v>
      </c>
      <c r="D530" t="s">
        <v>140</v>
      </c>
      <c r="E530" t="s">
        <v>30</v>
      </c>
      <c r="F530" t="s">
        <v>503</v>
      </c>
      <c r="G530" t="str">
        <f>VLOOKUP(F530,Hospitals!E:H,4,FALSE)</f>
        <v>30.14267 , 77.2861</v>
      </c>
      <c r="H530" s="1">
        <v>45384</v>
      </c>
      <c r="I530" s="1">
        <v>45384</v>
      </c>
      <c r="J530">
        <v>49.045000000000002</v>
      </c>
      <c r="K530">
        <v>47.337000000000003</v>
      </c>
      <c r="L530">
        <v>46.591000000000001</v>
      </c>
      <c r="M530">
        <v>29.411999999999999</v>
      </c>
      <c r="N530">
        <v>30.434999999999999</v>
      </c>
      <c r="O530">
        <v>30.434999999999999</v>
      </c>
      <c r="P530">
        <v>29.411999999999999</v>
      </c>
      <c r="Q530">
        <v>30.434999999999999</v>
      </c>
      <c r="R530">
        <v>30.434999999999999</v>
      </c>
      <c r="S530">
        <v>0</v>
      </c>
      <c r="T530">
        <v>0</v>
      </c>
      <c r="U530">
        <v>0</v>
      </c>
      <c r="V530">
        <f t="shared" si="24"/>
        <v>26.96725</v>
      </c>
      <c r="W530">
        <f t="shared" si="25"/>
        <v>27.051750000000002</v>
      </c>
      <c r="X530">
        <f t="shared" si="26"/>
        <v>26.86525</v>
      </c>
      <c r="Y530">
        <v>13</v>
      </c>
      <c r="Z530" s="2" t="s">
        <v>142</v>
      </c>
    </row>
    <row r="531" spans="1:26" x14ac:dyDescent="0.25">
      <c r="A531">
        <v>608</v>
      </c>
      <c r="B531">
        <v>597</v>
      </c>
      <c r="C531" t="s">
        <v>22</v>
      </c>
      <c r="D531" t="s">
        <v>140</v>
      </c>
      <c r="E531" t="s">
        <v>30</v>
      </c>
      <c r="F531" t="s">
        <v>504</v>
      </c>
      <c r="G531" t="str">
        <f>VLOOKUP(F531,Hospitals!E:H,4,FALSE)</f>
        <v>30.13727 , 77.29704</v>
      </c>
      <c r="H531" s="1">
        <v>45389</v>
      </c>
      <c r="I531" s="1">
        <v>45389</v>
      </c>
      <c r="J531">
        <v>69.427000000000007</v>
      </c>
      <c r="K531">
        <v>66.272000000000006</v>
      </c>
      <c r="L531">
        <v>63.636000000000003</v>
      </c>
      <c r="M531">
        <v>82.352999999999994</v>
      </c>
      <c r="N531">
        <v>73.912999999999997</v>
      </c>
      <c r="O531">
        <v>73.912999999999997</v>
      </c>
      <c r="P531">
        <v>82.352999999999994</v>
      </c>
      <c r="Q531">
        <v>73.912999999999997</v>
      </c>
      <c r="R531">
        <v>73.912999999999997</v>
      </c>
      <c r="S531">
        <v>0</v>
      </c>
      <c r="T531">
        <v>0</v>
      </c>
      <c r="U531">
        <v>0</v>
      </c>
      <c r="V531">
        <f t="shared" si="24"/>
        <v>58.533249999999995</v>
      </c>
      <c r="W531">
        <f t="shared" si="25"/>
        <v>53.524500000000003</v>
      </c>
      <c r="X531">
        <f t="shared" si="26"/>
        <v>52.865499999999997</v>
      </c>
      <c r="Y531">
        <v>13</v>
      </c>
      <c r="Z531" s="2" t="s">
        <v>142</v>
      </c>
    </row>
    <row r="532" spans="1:26" x14ac:dyDescent="0.25">
      <c r="A532">
        <v>537</v>
      </c>
      <c r="B532">
        <v>598</v>
      </c>
      <c r="C532" t="s">
        <v>22</v>
      </c>
      <c r="D532" t="s">
        <v>140</v>
      </c>
      <c r="E532" t="s">
        <v>30</v>
      </c>
      <c r="F532" t="s">
        <v>505</v>
      </c>
      <c r="G532" t="str">
        <f>VLOOKUP(F532,Hospitals!E:H,4,FALSE)</f>
        <v>30.14256 , 77.2857</v>
      </c>
      <c r="H532" s="1">
        <v>45385</v>
      </c>
      <c r="I532" s="1">
        <v>45385</v>
      </c>
      <c r="J532">
        <v>87.260999999999996</v>
      </c>
      <c r="K532">
        <v>85.206999999999994</v>
      </c>
      <c r="L532">
        <v>84.090999999999994</v>
      </c>
      <c r="M532">
        <v>64.706000000000003</v>
      </c>
      <c r="N532">
        <v>65.216999999999999</v>
      </c>
      <c r="O532">
        <v>65.216999999999999</v>
      </c>
      <c r="P532">
        <v>64.706000000000003</v>
      </c>
      <c r="Q532">
        <v>65.216999999999999</v>
      </c>
      <c r="R532">
        <v>65.216999999999999</v>
      </c>
      <c r="S532">
        <v>10</v>
      </c>
      <c r="T532">
        <v>16.667000000000002</v>
      </c>
      <c r="U532">
        <v>0</v>
      </c>
      <c r="V532">
        <f t="shared" si="24"/>
        <v>56.66825</v>
      </c>
      <c r="W532">
        <f t="shared" si="25"/>
        <v>58.076999999999991</v>
      </c>
      <c r="X532">
        <f t="shared" si="26"/>
        <v>53.631249999999994</v>
      </c>
      <c r="Y532">
        <v>13</v>
      </c>
      <c r="Z532" s="2" t="s">
        <v>142</v>
      </c>
    </row>
    <row r="533" spans="1:26" x14ac:dyDescent="0.25">
      <c r="A533">
        <v>568</v>
      </c>
      <c r="B533">
        <v>599</v>
      </c>
      <c r="C533" t="s">
        <v>22</v>
      </c>
      <c r="D533" t="s">
        <v>140</v>
      </c>
      <c r="E533" t="s">
        <v>30</v>
      </c>
      <c r="F533" t="s">
        <v>506</v>
      </c>
      <c r="G533" t="str">
        <f>VLOOKUP(F533,Hospitals!E:H,4,FALSE)</f>
        <v>30.12644 , 77.29438</v>
      </c>
      <c r="H533" s="1">
        <v>45386</v>
      </c>
      <c r="I533" s="1">
        <v>45386</v>
      </c>
      <c r="J533">
        <v>99.363</v>
      </c>
      <c r="K533">
        <v>98.816999999999993</v>
      </c>
      <c r="L533">
        <v>98.295000000000002</v>
      </c>
      <c r="M533">
        <v>94.117999999999995</v>
      </c>
      <c r="N533">
        <v>91.304000000000002</v>
      </c>
      <c r="O533">
        <v>91.304000000000002</v>
      </c>
      <c r="P533">
        <v>94.117999999999995</v>
      </c>
      <c r="Q533">
        <v>91.304000000000002</v>
      </c>
      <c r="R533">
        <v>91.304000000000002</v>
      </c>
      <c r="S533">
        <v>30</v>
      </c>
      <c r="T533">
        <v>33.332999999999998</v>
      </c>
      <c r="U533">
        <v>14.286</v>
      </c>
      <c r="V533">
        <f t="shared" si="24"/>
        <v>79.399749999999997</v>
      </c>
      <c r="W533">
        <f t="shared" si="25"/>
        <v>78.689499999999981</v>
      </c>
      <c r="X533">
        <f t="shared" si="26"/>
        <v>73.797250000000005</v>
      </c>
      <c r="Y533">
        <v>13</v>
      </c>
      <c r="Z533" s="2" t="s">
        <v>142</v>
      </c>
    </row>
    <row r="534" spans="1:26" x14ac:dyDescent="0.25">
      <c r="A534">
        <v>721</v>
      </c>
      <c r="B534">
        <v>6</v>
      </c>
      <c r="C534" t="s">
        <v>22</v>
      </c>
      <c r="D534" t="s">
        <v>23</v>
      </c>
      <c r="E534" t="s">
        <v>62</v>
      </c>
      <c r="F534" t="s">
        <v>507</v>
      </c>
      <c r="G534" t="str">
        <f>VLOOKUP(F534,Hospitals!E:H,4,FALSE)</f>
        <v>28.90345 , 76.57194</v>
      </c>
      <c r="H534" s="1">
        <v>45453</v>
      </c>
      <c r="I534" t="s">
        <v>35</v>
      </c>
      <c r="J534">
        <v>32.484000000000002</v>
      </c>
      <c r="K534">
        <v>32.543999999999997</v>
      </c>
      <c r="L534">
        <v>33.523000000000003</v>
      </c>
      <c r="M534">
        <v>82.352999999999994</v>
      </c>
      <c r="N534">
        <v>86.956999999999994</v>
      </c>
      <c r="O534">
        <v>86.956999999999994</v>
      </c>
      <c r="P534">
        <v>82.352999999999994</v>
      </c>
      <c r="Q534">
        <v>86.956999999999994</v>
      </c>
      <c r="R534">
        <v>86.956999999999994</v>
      </c>
      <c r="S534">
        <v>70</v>
      </c>
      <c r="T534">
        <v>50</v>
      </c>
      <c r="U534">
        <v>7.1429999999999998</v>
      </c>
      <c r="V534">
        <f t="shared" si="24"/>
        <v>66.797499999999999</v>
      </c>
      <c r="W534">
        <f t="shared" si="25"/>
        <v>64.114499999999992</v>
      </c>
      <c r="X534">
        <f t="shared" si="26"/>
        <v>53.644999999999996</v>
      </c>
      <c r="Y534">
        <v>13</v>
      </c>
      <c r="Z534" s="2" t="s">
        <v>26</v>
      </c>
    </row>
    <row r="535" spans="1:26" x14ac:dyDescent="0.25">
      <c r="A535">
        <v>503</v>
      </c>
      <c r="B535">
        <v>60</v>
      </c>
      <c r="C535" t="s">
        <v>22</v>
      </c>
      <c r="D535" t="s">
        <v>508</v>
      </c>
      <c r="E535" t="s">
        <v>30</v>
      </c>
      <c r="F535" t="s">
        <v>509</v>
      </c>
      <c r="G535" t="str">
        <f>VLOOKUP(F535,Hospitals!E:H,4,FALSE)</f>
        <v>28.36914 , 77.32094</v>
      </c>
      <c r="H535" s="1">
        <v>45378</v>
      </c>
      <c r="I535" s="1">
        <v>45378</v>
      </c>
      <c r="J535">
        <v>90.445999999999998</v>
      </c>
      <c r="K535">
        <v>89.349000000000004</v>
      </c>
      <c r="L535">
        <v>87.5</v>
      </c>
      <c r="M535">
        <v>64.706000000000003</v>
      </c>
      <c r="N535">
        <v>73.912999999999997</v>
      </c>
      <c r="O535">
        <v>73.912999999999997</v>
      </c>
      <c r="P535">
        <v>64.706000000000003</v>
      </c>
      <c r="Q535">
        <v>73.912999999999997</v>
      </c>
      <c r="R535">
        <v>73.912999999999997</v>
      </c>
      <c r="S535">
        <v>60</v>
      </c>
      <c r="T535">
        <v>41.667000000000002</v>
      </c>
      <c r="U535">
        <v>28.571000000000002</v>
      </c>
      <c r="V535">
        <f t="shared" si="24"/>
        <v>69.964500000000001</v>
      </c>
      <c r="W535">
        <f t="shared" si="25"/>
        <v>69.710499999999996</v>
      </c>
      <c r="X535">
        <f t="shared" si="26"/>
        <v>65.974250000000012</v>
      </c>
      <c r="Y535">
        <v>13</v>
      </c>
      <c r="Z535" s="2" t="s">
        <v>510</v>
      </c>
    </row>
    <row r="536" spans="1:26" x14ac:dyDescent="0.25">
      <c r="A536">
        <v>551</v>
      </c>
      <c r="B536">
        <v>602</v>
      </c>
      <c r="C536" t="s">
        <v>22</v>
      </c>
      <c r="D536" t="s">
        <v>140</v>
      </c>
      <c r="E536" t="s">
        <v>30</v>
      </c>
      <c r="F536" t="s">
        <v>511</v>
      </c>
      <c r="G536" t="str">
        <f>VLOOKUP(F536,Hospitals!E:H,4,FALSE)</f>
        <v>30.1375 , 77.27797</v>
      </c>
      <c r="H536" s="1">
        <v>45392</v>
      </c>
      <c r="I536" s="1">
        <v>45392</v>
      </c>
      <c r="J536">
        <v>63.057000000000002</v>
      </c>
      <c r="K536">
        <v>60.354999999999997</v>
      </c>
      <c r="L536">
        <v>58.523000000000003</v>
      </c>
      <c r="M536">
        <v>35.293999999999997</v>
      </c>
      <c r="N536">
        <v>43.478000000000002</v>
      </c>
      <c r="O536">
        <v>43.478000000000002</v>
      </c>
      <c r="P536">
        <v>35.293999999999997</v>
      </c>
      <c r="Q536">
        <v>43.478000000000002</v>
      </c>
      <c r="R536">
        <v>43.478000000000002</v>
      </c>
      <c r="S536">
        <v>20</v>
      </c>
      <c r="T536">
        <v>16.667000000000002</v>
      </c>
      <c r="U536">
        <v>14.286</v>
      </c>
      <c r="V536">
        <f t="shared" si="24"/>
        <v>38.411249999999995</v>
      </c>
      <c r="W536">
        <f t="shared" si="25"/>
        <v>40.994500000000002</v>
      </c>
      <c r="X536">
        <f t="shared" si="26"/>
        <v>39.941250000000004</v>
      </c>
      <c r="Y536">
        <v>13</v>
      </c>
      <c r="Z536" s="2" t="s">
        <v>142</v>
      </c>
    </row>
    <row r="537" spans="1:26" x14ac:dyDescent="0.25">
      <c r="A537">
        <v>615</v>
      </c>
      <c r="B537">
        <v>603</v>
      </c>
      <c r="C537" t="s">
        <v>22</v>
      </c>
      <c r="D537" t="s">
        <v>140</v>
      </c>
      <c r="E537" t="s">
        <v>30</v>
      </c>
      <c r="F537" t="s">
        <v>512</v>
      </c>
      <c r="G537" t="str">
        <f>VLOOKUP(F537,Hospitals!E:H,4,FALSE)</f>
        <v>28.75788 , 77.19976</v>
      </c>
      <c r="H537" s="1">
        <v>45387</v>
      </c>
      <c r="I537" s="1">
        <v>45387</v>
      </c>
      <c r="J537">
        <v>72.611000000000004</v>
      </c>
      <c r="K537">
        <v>68.638999999999996</v>
      </c>
      <c r="L537">
        <v>65.909000000000006</v>
      </c>
      <c r="M537">
        <v>47.058999999999997</v>
      </c>
      <c r="N537">
        <v>47.826000000000001</v>
      </c>
      <c r="O537">
        <v>47.826000000000001</v>
      </c>
      <c r="P537">
        <v>47.058999999999997</v>
      </c>
      <c r="Q537">
        <v>47.826000000000001</v>
      </c>
      <c r="R537">
        <v>47.826000000000001</v>
      </c>
      <c r="S537">
        <v>20</v>
      </c>
      <c r="T537">
        <v>8.3330000000000002</v>
      </c>
      <c r="U537">
        <v>0</v>
      </c>
      <c r="V537">
        <f t="shared" si="24"/>
        <v>46.682249999999996</v>
      </c>
      <c r="W537">
        <f t="shared" si="25"/>
        <v>43.155999999999999</v>
      </c>
      <c r="X537">
        <f t="shared" si="26"/>
        <v>40.390250000000002</v>
      </c>
      <c r="Y537">
        <v>13</v>
      </c>
      <c r="Z537" s="2" t="s">
        <v>142</v>
      </c>
    </row>
    <row r="538" spans="1:26" x14ac:dyDescent="0.25">
      <c r="A538">
        <v>626</v>
      </c>
      <c r="B538">
        <v>604</v>
      </c>
      <c r="C538" t="s">
        <v>22</v>
      </c>
      <c r="D538" t="s">
        <v>140</v>
      </c>
      <c r="E538" t="s">
        <v>30</v>
      </c>
      <c r="F538" t="s">
        <v>513</v>
      </c>
      <c r="G538" t="str">
        <f>VLOOKUP(F538,Hospitals!E:H,4,FALSE)</f>
        <v>30.14656 , 77.29316</v>
      </c>
      <c r="H538" s="1">
        <v>45396</v>
      </c>
      <c r="I538" s="1">
        <v>45396</v>
      </c>
      <c r="J538">
        <v>79.617999999999995</v>
      </c>
      <c r="K538">
        <v>79.882000000000005</v>
      </c>
      <c r="L538">
        <v>77.840999999999994</v>
      </c>
      <c r="M538">
        <v>88.234999999999999</v>
      </c>
      <c r="N538">
        <v>86.956999999999994</v>
      </c>
      <c r="O538">
        <v>86.956999999999994</v>
      </c>
      <c r="P538">
        <v>88.234999999999999</v>
      </c>
      <c r="Q538">
        <v>86.956999999999994</v>
      </c>
      <c r="R538">
        <v>86.956999999999994</v>
      </c>
      <c r="S538">
        <v>30</v>
      </c>
      <c r="T538">
        <v>25</v>
      </c>
      <c r="U538">
        <v>14.286</v>
      </c>
      <c r="V538">
        <f t="shared" si="24"/>
        <v>71.522000000000006</v>
      </c>
      <c r="W538">
        <f t="shared" si="25"/>
        <v>69.698999999999998</v>
      </c>
      <c r="X538">
        <f t="shared" si="26"/>
        <v>66.510249999999999</v>
      </c>
      <c r="Y538">
        <v>13</v>
      </c>
      <c r="Z538" s="2" t="s">
        <v>142</v>
      </c>
    </row>
    <row r="539" spans="1:26" x14ac:dyDescent="0.25">
      <c r="A539">
        <v>556</v>
      </c>
      <c r="B539">
        <v>605</v>
      </c>
      <c r="C539" t="s">
        <v>22</v>
      </c>
      <c r="D539" t="s">
        <v>140</v>
      </c>
      <c r="E539" t="s">
        <v>30</v>
      </c>
      <c r="F539" t="s">
        <v>514</v>
      </c>
      <c r="G539" t="str">
        <f>VLOOKUP(F539,Hospitals!E:H,4,FALSE)</f>
        <v>30.13345 , 77.28333</v>
      </c>
      <c r="H539" s="1">
        <v>45387</v>
      </c>
      <c r="I539" s="1">
        <v>45387</v>
      </c>
      <c r="J539">
        <v>71.974999999999994</v>
      </c>
      <c r="K539">
        <v>69.230999999999995</v>
      </c>
      <c r="L539">
        <v>67.045000000000002</v>
      </c>
      <c r="M539">
        <v>70.587999999999994</v>
      </c>
      <c r="N539">
        <v>69.564999999999998</v>
      </c>
      <c r="O539">
        <v>69.564999999999998</v>
      </c>
      <c r="P539">
        <v>70.587999999999994</v>
      </c>
      <c r="Q539">
        <v>69.564999999999998</v>
      </c>
      <c r="R539">
        <v>69.564999999999998</v>
      </c>
      <c r="S539">
        <v>10</v>
      </c>
      <c r="T539">
        <v>8.3330000000000002</v>
      </c>
      <c r="U539">
        <v>0</v>
      </c>
      <c r="V539">
        <f t="shared" si="24"/>
        <v>55.787749999999996</v>
      </c>
      <c r="W539">
        <f t="shared" si="25"/>
        <v>54.173499999999997</v>
      </c>
      <c r="X539">
        <f t="shared" si="26"/>
        <v>51.543750000000003</v>
      </c>
      <c r="Y539">
        <v>13</v>
      </c>
      <c r="Z539" s="2" t="s">
        <v>142</v>
      </c>
    </row>
    <row r="540" spans="1:26" x14ac:dyDescent="0.25">
      <c r="A540">
        <v>476</v>
      </c>
      <c r="B540">
        <v>606</v>
      </c>
      <c r="C540" t="s">
        <v>22</v>
      </c>
      <c r="D540" t="s">
        <v>140</v>
      </c>
      <c r="E540" t="s">
        <v>30</v>
      </c>
      <c r="F540" t="s">
        <v>515</v>
      </c>
      <c r="G540" t="str">
        <f>VLOOKUP(F540,Hospitals!E:H,4,FALSE)</f>
        <v>28.86728 , 75.57425</v>
      </c>
      <c r="H540" s="1">
        <v>45380</v>
      </c>
      <c r="I540" s="1">
        <v>45380</v>
      </c>
      <c r="J540">
        <v>77.706999999999994</v>
      </c>
      <c r="K540">
        <v>75.739999999999995</v>
      </c>
      <c r="L540">
        <v>73.295000000000002</v>
      </c>
      <c r="M540">
        <v>41.176000000000002</v>
      </c>
      <c r="N540">
        <v>39.130000000000003</v>
      </c>
      <c r="O540">
        <v>39.130000000000003</v>
      </c>
      <c r="P540">
        <v>41.176000000000002</v>
      </c>
      <c r="Q540">
        <v>39.130000000000003</v>
      </c>
      <c r="R540">
        <v>39.130000000000003</v>
      </c>
      <c r="S540">
        <v>10</v>
      </c>
      <c r="T540">
        <v>8.3330000000000002</v>
      </c>
      <c r="U540">
        <v>0</v>
      </c>
      <c r="V540">
        <f t="shared" si="24"/>
        <v>42.514749999999999</v>
      </c>
      <c r="W540">
        <f t="shared" si="25"/>
        <v>40.58325</v>
      </c>
      <c r="X540">
        <f t="shared" si="26"/>
        <v>37.888750000000002</v>
      </c>
      <c r="Y540">
        <v>13</v>
      </c>
      <c r="Z540" s="2" t="s">
        <v>142</v>
      </c>
    </row>
    <row r="541" spans="1:26" x14ac:dyDescent="0.25">
      <c r="A541">
        <v>553</v>
      </c>
      <c r="B541">
        <v>607</v>
      </c>
      <c r="C541" t="s">
        <v>22</v>
      </c>
      <c r="D541" t="s">
        <v>140</v>
      </c>
      <c r="E541" t="s">
        <v>30</v>
      </c>
      <c r="F541" t="s">
        <v>516</v>
      </c>
      <c r="G541" t="str">
        <f>VLOOKUP(F541,Hospitals!E:H,4,FALSE)</f>
        <v>30.14 , 77.29013</v>
      </c>
      <c r="H541" s="1">
        <v>45384</v>
      </c>
      <c r="I541" s="1">
        <v>45384</v>
      </c>
      <c r="J541">
        <v>83.438999999999993</v>
      </c>
      <c r="K541">
        <v>82.248999999999995</v>
      </c>
      <c r="L541">
        <v>82.385999999999996</v>
      </c>
      <c r="M541">
        <v>88.234999999999999</v>
      </c>
      <c r="N541">
        <v>82.608999999999995</v>
      </c>
      <c r="O541">
        <v>82.608999999999995</v>
      </c>
      <c r="P541">
        <v>88.234999999999999</v>
      </c>
      <c r="Q541">
        <v>82.608999999999995</v>
      </c>
      <c r="R541">
        <v>82.608999999999995</v>
      </c>
      <c r="S541">
        <v>10</v>
      </c>
      <c r="T541">
        <v>8.3330000000000002</v>
      </c>
      <c r="U541">
        <v>7.1429999999999998</v>
      </c>
      <c r="V541">
        <f t="shared" si="24"/>
        <v>67.477249999999998</v>
      </c>
      <c r="W541">
        <f t="shared" si="25"/>
        <v>63.949999999999996</v>
      </c>
      <c r="X541">
        <f t="shared" si="26"/>
        <v>63.686749999999996</v>
      </c>
      <c r="Y541">
        <v>13</v>
      </c>
      <c r="Z541" s="2" t="s">
        <v>142</v>
      </c>
    </row>
    <row r="542" spans="1:26" x14ac:dyDescent="0.25">
      <c r="A542">
        <v>596</v>
      </c>
      <c r="B542">
        <v>608</v>
      </c>
      <c r="C542" t="s">
        <v>22</v>
      </c>
      <c r="D542" t="s">
        <v>140</v>
      </c>
      <c r="E542" t="s">
        <v>30</v>
      </c>
      <c r="F542" t="s">
        <v>517</v>
      </c>
      <c r="G542" t="str">
        <f>VLOOKUP(F542,Hospitals!E:H,4,FALSE)</f>
        <v>30.14911 , 77.3058</v>
      </c>
      <c r="H542" s="1">
        <v>45385</v>
      </c>
      <c r="I542" t="s">
        <v>35</v>
      </c>
      <c r="J542">
        <v>84.075999999999993</v>
      </c>
      <c r="K542">
        <v>82.248999999999995</v>
      </c>
      <c r="L542">
        <v>80.114000000000004</v>
      </c>
      <c r="M542">
        <v>88.234999999999999</v>
      </c>
      <c r="N542">
        <v>78.260999999999996</v>
      </c>
      <c r="O542">
        <v>78.260999999999996</v>
      </c>
      <c r="P542">
        <v>88.234999999999999</v>
      </c>
      <c r="Q542">
        <v>78.260999999999996</v>
      </c>
      <c r="R542">
        <v>78.260999999999996</v>
      </c>
      <c r="S542">
        <v>20</v>
      </c>
      <c r="T542">
        <v>8.3330000000000002</v>
      </c>
      <c r="U542">
        <v>7.1429999999999998</v>
      </c>
      <c r="V542">
        <f t="shared" si="24"/>
        <v>70.136499999999998</v>
      </c>
      <c r="W542">
        <f t="shared" si="25"/>
        <v>61.775999999999996</v>
      </c>
      <c r="X542">
        <f t="shared" si="26"/>
        <v>60.944749999999999</v>
      </c>
      <c r="Y542">
        <v>13</v>
      </c>
      <c r="Z542" s="2" t="s">
        <v>142</v>
      </c>
    </row>
    <row r="543" spans="1:26" x14ac:dyDescent="0.25">
      <c r="A543">
        <v>438</v>
      </c>
      <c r="B543">
        <v>608</v>
      </c>
      <c r="C543" t="s">
        <v>22</v>
      </c>
      <c r="D543" t="s">
        <v>140</v>
      </c>
      <c r="E543" t="s">
        <v>30</v>
      </c>
      <c r="F543" t="s">
        <v>517</v>
      </c>
      <c r="G543" t="str">
        <f>VLOOKUP(F543,Hospitals!E:H,4,FALSE)</f>
        <v>30.14911 , 77.3058</v>
      </c>
      <c r="H543" s="1">
        <v>45374</v>
      </c>
      <c r="I543" s="1">
        <v>45374</v>
      </c>
      <c r="J543">
        <v>84.075999999999993</v>
      </c>
      <c r="K543">
        <v>82.248999999999995</v>
      </c>
      <c r="L543">
        <v>80.114000000000004</v>
      </c>
      <c r="M543">
        <v>88.234999999999999</v>
      </c>
      <c r="N543">
        <v>78.260999999999996</v>
      </c>
      <c r="O543">
        <v>78.260999999999996</v>
      </c>
      <c r="P543">
        <v>88.234999999999999</v>
      </c>
      <c r="Q543">
        <v>78.260999999999996</v>
      </c>
      <c r="R543">
        <v>78.260999999999996</v>
      </c>
      <c r="S543">
        <v>20</v>
      </c>
      <c r="T543">
        <v>8.3330000000000002</v>
      </c>
      <c r="U543">
        <v>7.1429999999999998</v>
      </c>
      <c r="V543">
        <f t="shared" si="24"/>
        <v>70.136499999999998</v>
      </c>
      <c r="W543">
        <f t="shared" si="25"/>
        <v>61.775999999999996</v>
      </c>
      <c r="X543">
        <f t="shared" si="26"/>
        <v>60.944749999999999</v>
      </c>
      <c r="Y543">
        <v>13</v>
      </c>
      <c r="Z543" s="2" t="s">
        <v>142</v>
      </c>
    </row>
    <row r="544" spans="1:26" x14ac:dyDescent="0.25">
      <c r="A544">
        <v>572</v>
      </c>
      <c r="B544">
        <v>608</v>
      </c>
      <c r="C544" t="s">
        <v>22</v>
      </c>
      <c r="D544" t="s">
        <v>140</v>
      </c>
      <c r="E544" t="s">
        <v>30</v>
      </c>
      <c r="F544" t="s">
        <v>517</v>
      </c>
      <c r="G544" t="str">
        <f>VLOOKUP(F544,Hospitals!E:H,4,FALSE)</f>
        <v>30.14911 , 77.3058</v>
      </c>
      <c r="H544" s="1">
        <v>45385</v>
      </c>
      <c r="I544" s="1">
        <v>45386</v>
      </c>
      <c r="J544">
        <v>84.075999999999993</v>
      </c>
      <c r="K544">
        <v>82.248999999999995</v>
      </c>
      <c r="L544">
        <v>80.114000000000004</v>
      </c>
      <c r="M544">
        <v>88.234999999999999</v>
      </c>
      <c r="N544">
        <v>78.260999999999996</v>
      </c>
      <c r="O544">
        <v>78.260999999999996</v>
      </c>
      <c r="P544">
        <v>88.234999999999999</v>
      </c>
      <c r="Q544">
        <v>78.260999999999996</v>
      </c>
      <c r="R544">
        <v>78.260999999999996</v>
      </c>
      <c r="S544">
        <v>20</v>
      </c>
      <c r="T544">
        <v>8.3330000000000002</v>
      </c>
      <c r="U544">
        <v>7.1429999999999998</v>
      </c>
      <c r="V544">
        <f t="shared" si="24"/>
        <v>70.136499999999998</v>
      </c>
      <c r="W544">
        <f t="shared" si="25"/>
        <v>61.775999999999996</v>
      </c>
      <c r="X544">
        <f t="shared" si="26"/>
        <v>60.944749999999999</v>
      </c>
      <c r="Y544">
        <v>13</v>
      </c>
      <c r="Z544" s="2" t="s">
        <v>142</v>
      </c>
    </row>
    <row r="545" spans="1:26" x14ac:dyDescent="0.25">
      <c r="A545">
        <v>557</v>
      </c>
      <c r="B545">
        <v>609</v>
      </c>
      <c r="C545" t="s">
        <v>22</v>
      </c>
      <c r="D545" t="s">
        <v>140</v>
      </c>
      <c r="E545" t="s">
        <v>30</v>
      </c>
      <c r="F545" t="s">
        <v>518</v>
      </c>
      <c r="G545" t="str">
        <f>VLOOKUP(F545,Hospitals!E:H,4,FALSE)</f>
        <v>30.12643 , 77.29797</v>
      </c>
      <c r="H545" s="1">
        <v>45387</v>
      </c>
      <c r="I545" s="1">
        <v>45387</v>
      </c>
      <c r="J545">
        <v>72.611000000000004</v>
      </c>
      <c r="K545">
        <v>70.414000000000001</v>
      </c>
      <c r="L545">
        <v>68.182000000000002</v>
      </c>
      <c r="M545">
        <v>76.471000000000004</v>
      </c>
      <c r="N545">
        <v>69.564999999999998</v>
      </c>
      <c r="O545">
        <v>69.564999999999998</v>
      </c>
      <c r="P545">
        <v>76.471000000000004</v>
      </c>
      <c r="Q545">
        <v>69.564999999999998</v>
      </c>
      <c r="R545">
        <v>69.564999999999998</v>
      </c>
      <c r="S545">
        <v>0</v>
      </c>
      <c r="T545">
        <v>0</v>
      </c>
      <c r="U545">
        <v>0</v>
      </c>
      <c r="V545">
        <f t="shared" si="24"/>
        <v>56.388249999999999</v>
      </c>
      <c r="W545">
        <f t="shared" si="25"/>
        <v>52.385999999999996</v>
      </c>
      <c r="X545">
        <f t="shared" si="26"/>
        <v>51.828000000000003</v>
      </c>
      <c r="Y545">
        <v>13</v>
      </c>
      <c r="Z545" s="2" t="s">
        <v>142</v>
      </c>
    </row>
    <row r="546" spans="1:26" x14ac:dyDescent="0.25">
      <c r="A546">
        <v>637</v>
      </c>
      <c r="B546">
        <v>611</v>
      </c>
      <c r="C546" t="s">
        <v>22</v>
      </c>
      <c r="D546" t="s">
        <v>140</v>
      </c>
      <c r="E546" t="s">
        <v>30</v>
      </c>
      <c r="F546" t="s">
        <v>519</v>
      </c>
      <c r="G546" t="str">
        <f>VLOOKUP(F546,Hospitals!E:H,4,FALSE)</f>
        <v>30.13531 , 77.28181</v>
      </c>
      <c r="H546" s="1">
        <v>45396</v>
      </c>
      <c r="I546" s="1">
        <v>45396</v>
      </c>
      <c r="J546">
        <v>44.585999999999999</v>
      </c>
      <c r="K546">
        <v>42.603999999999999</v>
      </c>
      <c r="L546">
        <v>40.908999999999999</v>
      </c>
      <c r="M546">
        <v>70.587999999999994</v>
      </c>
      <c r="N546">
        <v>65.216999999999999</v>
      </c>
      <c r="O546">
        <v>65.216999999999999</v>
      </c>
      <c r="P546">
        <v>70.587999999999994</v>
      </c>
      <c r="Q546">
        <v>65.216999999999999</v>
      </c>
      <c r="R546">
        <v>65.216999999999999</v>
      </c>
      <c r="S546">
        <v>20</v>
      </c>
      <c r="T546">
        <v>16.667000000000002</v>
      </c>
      <c r="U546">
        <v>7.1429999999999998</v>
      </c>
      <c r="V546">
        <f t="shared" si="24"/>
        <v>51.4405</v>
      </c>
      <c r="W546">
        <f t="shared" si="25"/>
        <v>47.426250000000003</v>
      </c>
      <c r="X546">
        <f t="shared" si="26"/>
        <v>44.621500000000005</v>
      </c>
      <c r="Y546">
        <v>13</v>
      </c>
      <c r="Z546" s="2" t="s">
        <v>142</v>
      </c>
    </row>
    <row r="547" spans="1:26" x14ac:dyDescent="0.25">
      <c r="A547">
        <v>417</v>
      </c>
      <c r="B547">
        <v>612</v>
      </c>
      <c r="C547" t="s">
        <v>22</v>
      </c>
      <c r="D547" t="s">
        <v>140</v>
      </c>
      <c r="E547" t="s">
        <v>30</v>
      </c>
      <c r="F547" t="s">
        <v>520</v>
      </c>
      <c r="G547" t="str">
        <f>VLOOKUP(F547,Hospitals!E:H,4,FALSE)</f>
        <v>30.14916 , 77.29725</v>
      </c>
      <c r="H547" s="1">
        <v>45386</v>
      </c>
      <c r="I547" s="1">
        <v>45386</v>
      </c>
      <c r="J547">
        <v>96.177999999999997</v>
      </c>
      <c r="K547">
        <v>95.858000000000004</v>
      </c>
      <c r="L547">
        <v>96.022999999999996</v>
      </c>
      <c r="M547">
        <v>100</v>
      </c>
      <c r="N547">
        <v>95.652000000000001</v>
      </c>
      <c r="O547">
        <v>95.652000000000001</v>
      </c>
      <c r="P547">
        <v>100</v>
      </c>
      <c r="Q547">
        <v>95.652000000000001</v>
      </c>
      <c r="R547">
        <v>95.652000000000001</v>
      </c>
      <c r="S547">
        <v>10</v>
      </c>
      <c r="T547">
        <v>16.667000000000002</v>
      </c>
      <c r="U547">
        <v>7.1429999999999998</v>
      </c>
      <c r="V547">
        <f t="shared" si="24"/>
        <v>76.544499999999999</v>
      </c>
      <c r="W547">
        <f t="shared" si="25"/>
        <v>75.957249999999988</v>
      </c>
      <c r="X547">
        <f t="shared" si="26"/>
        <v>73.617499999999993</v>
      </c>
      <c r="Y547">
        <v>13</v>
      </c>
      <c r="Z547" s="2" t="s">
        <v>142</v>
      </c>
    </row>
    <row r="548" spans="1:26" x14ac:dyDescent="0.25">
      <c r="A548">
        <v>601</v>
      </c>
      <c r="B548">
        <v>612</v>
      </c>
      <c r="C548" t="s">
        <v>22</v>
      </c>
      <c r="D548" t="s">
        <v>140</v>
      </c>
      <c r="E548" t="s">
        <v>30</v>
      </c>
      <c r="F548" t="s">
        <v>520</v>
      </c>
      <c r="G548" t="str">
        <f>VLOOKUP(F548,Hospitals!E:H,4,FALSE)</f>
        <v>30.14916 , 77.29725</v>
      </c>
      <c r="H548" s="1">
        <v>45386</v>
      </c>
      <c r="I548" t="s">
        <v>35</v>
      </c>
      <c r="J548">
        <v>96.177999999999997</v>
      </c>
      <c r="K548">
        <v>95.858000000000004</v>
      </c>
      <c r="L548">
        <v>96.022999999999996</v>
      </c>
      <c r="M548">
        <v>100</v>
      </c>
      <c r="N548">
        <v>95.652000000000001</v>
      </c>
      <c r="O548">
        <v>95.652000000000001</v>
      </c>
      <c r="P548">
        <v>100</v>
      </c>
      <c r="Q548">
        <v>95.652000000000001</v>
      </c>
      <c r="R548">
        <v>95.652000000000001</v>
      </c>
      <c r="S548">
        <v>10</v>
      </c>
      <c r="T548">
        <v>16.667000000000002</v>
      </c>
      <c r="U548">
        <v>7.1429999999999998</v>
      </c>
      <c r="V548">
        <f t="shared" si="24"/>
        <v>76.544499999999999</v>
      </c>
      <c r="W548">
        <f t="shared" si="25"/>
        <v>75.957249999999988</v>
      </c>
      <c r="X548">
        <f t="shared" si="26"/>
        <v>73.617499999999993</v>
      </c>
      <c r="Y548">
        <v>13</v>
      </c>
      <c r="Z548" s="2" t="s">
        <v>142</v>
      </c>
    </row>
    <row r="549" spans="1:26" x14ac:dyDescent="0.25">
      <c r="A549">
        <v>353</v>
      </c>
      <c r="B549">
        <v>615</v>
      </c>
      <c r="C549" t="s">
        <v>22</v>
      </c>
      <c r="D549" t="s">
        <v>23</v>
      </c>
      <c r="E549" t="s">
        <v>30</v>
      </c>
      <c r="F549" t="s">
        <v>521</v>
      </c>
      <c r="G549" t="e">
        <f>VLOOKUP(F549,Hospitals!E:H,4,FALSE)</f>
        <v>#N/A</v>
      </c>
      <c r="H549" s="1">
        <v>45573</v>
      </c>
      <c r="I549" t="s">
        <v>35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f t="shared" si="24"/>
        <v>0</v>
      </c>
      <c r="W549">
        <f t="shared" si="25"/>
        <v>0</v>
      </c>
      <c r="X549">
        <f t="shared" si="26"/>
        <v>0</v>
      </c>
      <c r="Y549">
        <v>13</v>
      </c>
      <c r="Z549" s="2" t="s">
        <v>26</v>
      </c>
    </row>
    <row r="550" spans="1:26" x14ac:dyDescent="0.25">
      <c r="A550">
        <v>409</v>
      </c>
      <c r="B550">
        <v>616</v>
      </c>
      <c r="C550">
        <v>13</v>
      </c>
      <c r="D550" s="2" t="s">
        <v>26</v>
      </c>
      <c r="E550" t="s">
        <v>30</v>
      </c>
      <c r="F550" t="s">
        <v>521</v>
      </c>
      <c r="G550" t="e">
        <f>VLOOKUP(F550,Hospitals!E:H,4,FALSE)</f>
        <v>#N/A</v>
      </c>
      <c r="H550" s="1">
        <v>45370</v>
      </c>
      <c r="I550" t="s">
        <v>35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f t="shared" si="24"/>
        <v>0</v>
      </c>
      <c r="W550">
        <f t="shared" si="25"/>
        <v>0</v>
      </c>
      <c r="X550">
        <f t="shared" si="26"/>
        <v>0</v>
      </c>
      <c r="Y550">
        <v>13</v>
      </c>
      <c r="Z550" s="2" t="s">
        <v>26</v>
      </c>
    </row>
    <row r="551" spans="1:26" x14ac:dyDescent="0.25">
      <c r="A551">
        <v>1341</v>
      </c>
      <c r="B551">
        <v>617</v>
      </c>
      <c r="C551" t="s">
        <v>22</v>
      </c>
      <c r="D551" t="s">
        <v>195</v>
      </c>
      <c r="E551" t="s">
        <v>30</v>
      </c>
      <c r="F551" t="s">
        <v>522</v>
      </c>
      <c r="G551" t="str">
        <f>VLOOKUP(F551,Hospitals!E:H,4,FALSE)</f>
        <v>29.30662 , 76.33622</v>
      </c>
      <c r="H551" s="1">
        <v>46048</v>
      </c>
      <c r="I551" s="1">
        <v>46048</v>
      </c>
      <c r="J551">
        <v>71.974999999999994</v>
      </c>
      <c r="K551">
        <v>70.414000000000001</v>
      </c>
      <c r="L551">
        <v>69.317999999999998</v>
      </c>
      <c r="M551">
        <v>64.706000000000003</v>
      </c>
      <c r="N551">
        <v>65.216999999999999</v>
      </c>
      <c r="O551">
        <v>65.216999999999999</v>
      </c>
      <c r="P551">
        <v>64.706000000000003</v>
      </c>
      <c r="Q551">
        <v>65.216999999999999</v>
      </c>
      <c r="R551">
        <v>65.216999999999999</v>
      </c>
      <c r="S551">
        <v>10</v>
      </c>
      <c r="T551">
        <v>8.3330000000000002</v>
      </c>
      <c r="U551">
        <v>0</v>
      </c>
      <c r="V551">
        <f t="shared" si="24"/>
        <v>52.84675</v>
      </c>
      <c r="W551">
        <f t="shared" si="25"/>
        <v>52.295250000000003</v>
      </c>
      <c r="X551">
        <f t="shared" si="26"/>
        <v>49.938000000000002</v>
      </c>
      <c r="Y551">
        <v>13</v>
      </c>
      <c r="Z551" s="2" t="s">
        <v>197</v>
      </c>
    </row>
    <row r="552" spans="1:26" x14ac:dyDescent="0.25">
      <c r="A552">
        <v>819</v>
      </c>
      <c r="B552">
        <v>618</v>
      </c>
      <c r="C552" t="s">
        <v>22</v>
      </c>
      <c r="D552" t="s">
        <v>254</v>
      </c>
      <c r="E552" t="s">
        <v>27</v>
      </c>
      <c r="F552" t="s">
        <v>523</v>
      </c>
      <c r="G552" t="str">
        <f>VLOOKUP(F552,Hospitals!E:H,4,FALSE)</f>
        <v>29.69108 , 77.02118</v>
      </c>
      <c r="H552" s="1">
        <v>45677</v>
      </c>
      <c r="I552" s="1">
        <v>45678</v>
      </c>
      <c r="J552">
        <v>15.923999999999999</v>
      </c>
      <c r="K552">
        <v>14.792999999999999</v>
      </c>
      <c r="L552">
        <v>14.205</v>
      </c>
      <c r="M552">
        <v>41.176000000000002</v>
      </c>
      <c r="N552">
        <v>30.434999999999999</v>
      </c>
      <c r="O552">
        <v>30.434999999999999</v>
      </c>
      <c r="P552">
        <v>41.176000000000002</v>
      </c>
      <c r="Q552">
        <v>30.434999999999999</v>
      </c>
      <c r="R552">
        <v>30.434999999999999</v>
      </c>
      <c r="S552">
        <v>0</v>
      </c>
      <c r="T552">
        <v>0</v>
      </c>
      <c r="U552">
        <v>0</v>
      </c>
      <c r="V552">
        <f t="shared" si="24"/>
        <v>24.569000000000003</v>
      </c>
      <c r="W552">
        <f t="shared" si="25"/>
        <v>18.915749999999999</v>
      </c>
      <c r="X552">
        <f t="shared" si="26"/>
        <v>18.768750000000001</v>
      </c>
      <c r="Y552">
        <v>13</v>
      </c>
      <c r="Z552" s="2" t="s">
        <v>256</v>
      </c>
    </row>
    <row r="553" spans="1:26" x14ac:dyDescent="0.25">
      <c r="A553">
        <v>708</v>
      </c>
      <c r="B553">
        <v>619</v>
      </c>
      <c r="C553" t="s">
        <v>22</v>
      </c>
      <c r="D553" t="s">
        <v>440</v>
      </c>
      <c r="E553" t="s">
        <v>24</v>
      </c>
      <c r="F553" t="s">
        <v>524</v>
      </c>
      <c r="G553" t="str">
        <f>VLOOKUP(F553,Hospitals!E:H,4,FALSE)</f>
        <v>12.99295 , 80.23027</v>
      </c>
      <c r="H553" s="1">
        <v>45429</v>
      </c>
      <c r="I553" s="1">
        <v>45429</v>
      </c>
      <c r="J553">
        <v>49.045000000000002</v>
      </c>
      <c r="K553">
        <v>46.746000000000002</v>
      </c>
      <c r="L553">
        <v>44.886000000000003</v>
      </c>
      <c r="M553">
        <v>23.529</v>
      </c>
      <c r="N553">
        <v>21.739000000000001</v>
      </c>
      <c r="O553">
        <v>21.739000000000001</v>
      </c>
      <c r="P553">
        <v>23.529</v>
      </c>
      <c r="Q553">
        <v>21.739000000000001</v>
      </c>
      <c r="R553">
        <v>21.739000000000001</v>
      </c>
      <c r="S553">
        <v>0</v>
      </c>
      <c r="T553">
        <v>0</v>
      </c>
      <c r="U553">
        <v>0</v>
      </c>
      <c r="V553">
        <f t="shared" si="24"/>
        <v>24.025749999999999</v>
      </c>
      <c r="W553">
        <f t="shared" si="25"/>
        <v>22.556000000000001</v>
      </c>
      <c r="X553">
        <f t="shared" si="26"/>
        <v>22.091000000000001</v>
      </c>
      <c r="Y553">
        <v>13</v>
      </c>
      <c r="Z553" s="2" t="s">
        <v>442</v>
      </c>
    </row>
    <row r="554" spans="1:26" x14ac:dyDescent="0.25">
      <c r="A554">
        <v>695</v>
      </c>
      <c r="B554">
        <v>620</v>
      </c>
      <c r="C554" t="s">
        <v>22</v>
      </c>
      <c r="D554" t="s">
        <v>440</v>
      </c>
      <c r="E554" t="s">
        <v>27</v>
      </c>
      <c r="F554" t="s">
        <v>525</v>
      </c>
      <c r="G554" t="str">
        <f>VLOOKUP(F554,Hospitals!E:H,4,FALSE)</f>
        <v>28.09856 , 76.60503</v>
      </c>
      <c r="H554" s="1">
        <v>45429</v>
      </c>
      <c r="I554" s="1">
        <v>45429</v>
      </c>
      <c r="J554">
        <v>19.745000000000001</v>
      </c>
      <c r="K554">
        <v>18.934999999999999</v>
      </c>
      <c r="L554">
        <v>18.181999999999999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f t="shared" si="24"/>
        <v>4.9362500000000002</v>
      </c>
      <c r="W554">
        <f t="shared" si="25"/>
        <v>4.7337499999999997</v>
      </c>
      <c r="X554">
        <f t="shared" si="26"/>
        <v>4.5454999999999997</v>
      </c>
      <c r="Y554">
        <v>13</v>
      </c>
      <c r="Z554" s="2" t="s">
        <v>442</v>
      </c>
    </row>
    <row r="555" spans="1:26" x14ac:dyDescent="0.25">
      <c r="A555">
        <v>704</v>
      </c>
      <c r="B555">
        <v>621</v>
      </c>
      <c r="C555" t="s">
        <v>22</v>
      </c>
      <c r="D555" t="s">
        <v>440</v>
      </c>
      <c r="E555" t="s">
        <v>27</v>
      </c>
      <c r="F555" t="s">
        <v>526</v>
      </c>
      <c r="G555" t="str">
        <f>VLOOKUP(F555,Hospitals!E:H,4,FALSE)</f>
        <v>28.26219 , 76.57194</v>
      </c>
      <c r="H555" s="1">
        <v>45419</v>
      </c>
      <c r="I555" s="1">
        <v>45419</v>
      </c>
      <c r="J555">
        <v>43.948999999999998</v>
      </c>
      <c r="K555">
        <v>42.012</v>
      </c>
      <c r="L555">
        <v>40.341000000000001</v>
      </c>
      <c r="M555">
        <v>35.293999999999997</v>
      </c>
      <c r="N555">
        <v>26.087</v>
      </c>
      <c r="O555">
        <v>26.087</v>
      </c>
      <c r="P555">
        <v>35.293999999999997</v>
      </c>
      <c r="Q555">
        <v>26.087</v>
      </c>
      <c r="R555">
        <v>26.087</v>
      </c>
      <c r="S555">
        <v>0</v>
      </c>
      <c r="T555">
        <v>0</v>
      </c>
      <c r="U555">
        <v>0</v>
      </c>
      <c r="V555">
        <f t="shared" si="24"/>
        <v>28.634249999999998</v>
      </c>
      <c r="W555">
        <f t="shared" si="25"/>
        <v>23.546500000000002</v>
      </c>
      <c r="X555">
        <f t="shared" si="26"/>
        <v>23.12875</v>
      </c>
      <c r="Y555">
        <v>13</v>
      </c>
      <c r="Z555" s="2" t="s">
        <v>442</v>
      </c>
    </row>
    <row r="556" spans="1:26" x14ac:dyDescent="0.25">
      <c r="A556">
        <v>709</v>
      </c>
      <c r="B556">
        <v>622</v>
      </c>
      <c r="C556" t="s">
        <v>22</v>
      </c>
      <c r="D556" t="s">
        <v>440</v>
      </c>
      <c r="E556" t="s">
        <v>27</v>
      </c>
      <c r="F556" t="s">
        <v>527</v>
      </c>
      <c r="G556" t="str">
        <f>VLOOKUP(F556,Hospitals!E:H,4,FALSE)</f>
        <v>28.26219 , 76.57194</v>
      </c>
      <c r="H556" s="1">
        <v>45419</v>
      </c>
      <c r="I556" s="1">
        <v>45421</v>
      </c>
      <c r="J556">
        <v>46.497</v>
      </c>
      <c r="K556">
        <v>43.195</v>
      </c>
      <c r="L556">
        <v>41.476999999999997</v>
      </c>
      <c r="M556">
        <v>23.529</v>
      </c>
      <c r="N556">
        <v>17.390999999999998</v>
      </c>
      <c r="O556">
        <v>17.390999999999998</v>
      </c>
      <c r="P556">
        <v>23.529</v>
      </c>
      <c r="Q556">
        <v>17.390999999999998</v>
      </c>
      <c r="R556">
        <v>17.390999999999998</v>
      </c>
      <c r="S556">
        <v>0</v>
      </c>
      <c r="T556">
        <v>0</v>
      </c>
      <c r="U556">
        <v>0</v>
      </c>
      <c r="V556">
        <f t="shared" si="24"/>
        <v>23.388749999999998</v>
      </c>
      <c r="W556">
        <f t="shared" si="25"/>
        <v>19.494250000000001</v>
      </c>
      <c r="X556">
        <f t="shared" si="26"/>
        <v>19.064749999999997</v>
      </c>
      <c r="Y556">
        <v>13</v>
      </c>
      <c r="Z556" s="2" t="s">
        <v>442</v>
      </c>
    </row>
    <row r="557" spans="1:26" x14ac:dyDescent="0.25">
      <c r="A557">
        <v>713</v>
      </c>
      <c r="B557">
        <v>622</v>
      </c>
      <c r="C557" t="s">
        <v>22</v>
      </c>
      <c r="D557" t="s">
        <v>440</v>
      </c>
      <c r="E557" t="s">
        <v>27</v>
      </c>
      <c r="F557" t="s">
        <v>527</v>
      </c>
      <c r="G557" t="str">
        <f>VLOOKUP(F557,Hospitals!E:H,4,FALSE)</f>
        <v>28.26219 , 76.57194</v>
      </c>
      <c r="H557" s="1">
        <v>45421</v>
      </c>
      <c r="I557" t="s">
        <v>35</v>
      </c>
      <c r="J557">
        <v>46.497</v>
      </c>
      <c r="K557">
        <v>43.195</v>
      </c>
      <c r="L557">
        <v>41.476999999999997</v>
      </c>
      <c r="M557">
        <v>23.529</v>
      </c>
      <c r="N557">
        <v>17.390999999999998</v>
      </c>
      <c r="O557">
        <v>17.390999999999998</v>
      </c>
      <c r="P557">
        <v>23.529</v>
      </c>
      <c r="Q557">
        <v>17.390999999999998</v>
      </c>
      <c r="R557">
        <v>17.390999999999998</v>
      </c>
      <c r="S557">
        <v>0</v>
      </c>
      <c r="T557">
        <v>0</v>
      </c>
      <c r="U557">
        <v>0</v>
      </c>
      <c r="V557">
        <f t="shared" si="24"/>
        <v>23.388749999999998</v>
      </c>
      <c r="W557">
        <f t="shared" si="25"/>
        <v>19.494250000000001</v>
      </c>
      <c r="X557">
        <f t="shared" si="26"/>
        <v>19.064749999999997</v>
      </c>
      <c r="Y557">
        <v>13</v>
      </c>
      <c r="Z557" s="2" t="s">
        <v>442</v>
      </c>
    </row>
    <row r="558" spans="1:26" x14ac:dyDescent="0.25">
      <c r="A558">
        <v>705</v>
      </c>
      <c r="B558">
        <v>623</v>
      </c>
      <c r="C558" t="s">
        <v>22</v>
      </c>
      <c r="D558" t="s">
        <v>440</v>
      </c>
      <c r="E558" t="s">
        <v>27</v>
      </c>
      <c r="F558" t="s">
        <v>528</v>
      </c>
      <c r="G558" t="str">
        <f>VLOOKUP(F558,Hospitals!E:H,4,FALSE)</f>
        <v>28.13788 , 76.52639</v>
      </c>
      <c r="H558" s="1">
        <v>45429</v>
      </c>
      <c r="I558" s="1">
        <v>45429</v>
      </c>
      <c r="J558">
        <v>55.414000000000001</v>
      </c>
      <c r="K558">
        <v>52.070999999999998</v>
      </c>
      <c r="L558">
        <v>50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f t="shared" si="24"/>
        <v>13.8535</v>
      </c>
      <c r="W558">
        <f t="shared" si="25"/>
        <v>13.017749999999999</v>
      </c>
      <c r="X558">
        <f t="shared" si="26"/>
        <v>12.5</v>
      </c>
      <c r="Y558">
        <v>13</v>
      </c>
      <c r="Z558" s="2" t="s">
        <v>442</v>
      </c>
    </row>
    <row r="559" spans="1:26" x14ac:dyDescent="0.25">
      <c r="A559">
        <v>707</v>
      </c>
      <c r="B559">
        <v>624</v>
      </c>
      <c r="C559" t="s">
        <v>22</v>
      </c>
      <c r="D559" t="s">
        <v>440</v>
      </c>
      <c r="E559" t="s">
        <v>27</v>
      </c>
      <c r="F559" t="s">
        <v>529</v>
      </c>
      <c r="G559" t="str">
        <f>VLOOKUP(F559,Hospitals!E:H,4,FALSE)</f>
        <v>28.90345 , 76.57194</v>
      </c>
      <c r="H559" s="1">
        <v>45429</v>
      </c>
      <c r="I559" s="1">
        <v>45429</v>
      </c>
      <c r="J559">
        <v>37.58</v>
      </c>
      <c r="K559">
        <v>35.503</v>
      </c>
      <c r="L559">
        <v>34.091000000000001</v>
      </c>
      <c r="M559">
        <v>29.411999999999999</v>
      </c>
      <c r="N559">
        <v>21.739000000000001</v>
      </c>
      <c r="O559">
        <v>21.739000000000001</v>
      </c>
      <c r="P559">
        <v>29.411999999999999</v>
      </c>
      <c r="Q559">
        <v>21.739000000000001</v>
      </c>
      <c r="R559">
        <v>21.739000000000001</v>
      </c>
      <c r="S559">
        <v>0</v>
      </c>
      <c r="T559">
        <v>0</v>
      </c>
      <c r="U559">
        <v>0</v>
      </c>
      <c r="V559">
        <f t="shared" si="24"/>
        <v>24.100999999999999</v>
      </c>
      <c r="W559">
        <f t="shared" si="25"/>
        <v>19.745250000000002</v>
      </c>
      <c r="X559">
        <f t="shared" si="26"/>
        <v>19.392250000000001</v>
      </c>
      <c r="Y559">
        <v>13</v>
      </c>
      <c r="Z559" s="2" t="s">
        <v>442</v>
      </c>
    </row>
    <row r="560" spans="1:26" x14ac:dyDescent="0.25">
      <c r="A560">
        <v>716</v>
      </c>
      <c r="B560">
        <v>625</v>
      </c>
      <c r="C560" t="s">
        <v>22</v>
      </c>
      <c r="D560" t="s">
        <v>440</v>
      </c>
      <c r="E560" t="s">
        <v>27</v>
      </c>
      <c r="F560" t="s">
        <v>530</v>
      </c>
      <c r="G560" t="str">
        <f>VLOOKUP(F560,Hospitals!E:H,4,FALSE)</f>
        <v>28.39822 , 76.59203</v>
      </c>
      <c r="H560" s="1">
        <v>45429</v>
      </c>
      <c r="I560" s="1">
        <v>45429</v>
      </c>
      <c r="J560">
        <v>13.375999999999999</v>
      </c>
      <c r="K560">
        <v>12.426</v>
      </c>
      <c r="L560">
        <v>11.932</v>
      </c>
      <c r="M560">
        <v>17.646999999999998</v>
      </c>
      <c r="N560">
        <v>13.042999999999999</v>
      </c>
      <c r="O560">
        <v>13.042999999999999</v>
      </c>
      <c r="P560">
        <v>17.646999999999998</v>
      </c>
      <c r="Q560">
        <v>13.042999999999999</v>
      </c>
      <c r="R560">
        <v>13.042999999999999</v>
      </c>
      <c r="S560">
        <v>0</v>
      </c>
      <c r="T560">
        <v>0</v>
      </c>
      <c r="U560">
        <v>0</v>
      </c>
      <c r="V560">
        <f t="shared" si="24"/>
        <v>12.167499999999999</v>
      </c>
      <c r="W560">
        <f t="shared" si="25"/>
        <v>9.6280000000000001</v>
      </c>
      <c r="X560">
        <f t="shared" si="26"/>
        <v>9.5045000000000002</v>
      </c>
      <c r="Y560">
        <v>13</v>
      </c>
      <c r="Z560" s="2" t="s">
        <v>442</v>
      </c>
    </row>
    <row r="561" spans="1:26" x14ac:dyDescent="0.25">
      <c r="A561">
        <v>699</v>
      </c>
      <c r="B561">
        <v>626</v>
      </c>
      <c r="C561" t="s">
        <v>22</v>
      </c>
      <c r="D561" t="s">
        <v>440</v>
      </c>
      <c r="E561" t="s">
        <v>27</v>
      </c>
      <c r="F561" t="s">
        <v>531</v>
      </c>
      <c r="G561" t="str">
        <f>VLOOKUP(F561,Hospitals!E:H,4,FALSE)</f>
        <v>28.17577 , 76.6989</v>
      </c>
      <c r="H561" s="1">
        <v>45420</v>
      </c>
      <c r="I561" s="1">
        <v>45420</v>
      </c>
      <c r="J561">
        <v>41.401000000000003</v>
      </c>
      <c r="K561">
        <v>38.462000000000003</v>
      </c>
      <c r="L561">
        <v>36.932000000000002</v>
      </c>
      <c r="M561">
        <v>23.529</v>
      </c>
      <c r="N561">
        <v>17.390999999999998</v>
      </c>
      <c r="O561">
        <v>17.390999999999998</v>
      </c>
      <c r="P561">
        <v>23.529</v>
      </c>
      <c r="Q561">
        <v>17.390999999999998</v>
      </c>
      <c r="R561">
        <v>17.390999999999998</v>
      </c>
      <c r="S561">
        <v>0</v>
      </c>
      <c r="T561">
        <v>0</v>
      </c>
      <c r="U561">
        <v>0</v>
      </c>
      <c r="V561">
        <f t="shared" si="24"/>
        <v>22.114750000000001</v>
      </c>
      <c r="W561">
        <f t="shared" si="25"/>
        <v>18.311</v>
      </c>
      <c r="X561">
        <f t="shared" si="26"/>
        <v>17.9285</v>
      </c>
      <c r="Y561">
        <v>13</v>
      </c>
      <c r="Z561" s="2" t="s">
        <v>442</v>
      </c>
    </row>
    <row r="562" spans="1:26" x14ac:dyDescent="0.25">
      <c r="A562">
        <v>700</v>
      </c>
      <c r="B562">
        <v>627</v>
      </c>
      <c r="C562" t="s">
        <v>22</v>
      </c>
      <c r="D562" t="s">
        <v>440</v>
      </c>
      <c r="E562" t="s">
        <v>27</v>
      </c>
      <c r="F562" t="s">
        <v>532</v>
      </c>
      <c r="G562" t="str">
        <f>VLOOKUP(F562,Hospitals!E:H,4,FALSE)</f>
        <v>28.26219 , 76.57194</v>
      </c>
      <c r="H562" s="1">
        <v>45428</v>
      </c>
      <c r="I562" s="1">
        <v>45429</v>
      </c>
      <c r="J562">
        <v>21.018999999999998</v>
      </c>
      <c r="K562">
        <v>19.527000000000001</v>
      </c>
      <c r="L562">
        <v>18.75</v>
      </c>
      <c r="M562">
        <v>5.8819999999999997</v>
      </c>
      <c r="N562">
        <v>4.3479999999999999</v>
      </c>
      <c r="O562">
        <v>4.3479999999999999</v>
      </c>
      <c r="P562">
        <v>5.8819999999999997</v>
      </c>
      <c r="Q562">
        <v>4.3479999999999999</v>
      </c>
      <c r="R562">
        <v>4.3479999999999999</v>
      </c>
      <c r="S562">
        <v>0</v>
      </c>
      <c r="T562">
        <v>0</v>
      </c>
      <c r="U562">
        <v>0</v>
      </c>
      <c r="V562">
        <f t="shared" si="24"/>
        <v>8.1957499999999985</v>
      </c>
      <c r="W562">
        <f t="shared" si="25"/>
        <v>7.0557499999999997</v>
      </c>
      <c r="X562">
        <f t="shared" si="26"/>
        <v>6.8614999999999995</v>
      </c>
      <c r="Y562">
        <v>13</v>
      </c>
      <c r="Z562" s="2" t="s">
        <v>442</v>
      </c>
    </row>
    <row r="563" spans="1:26" x14ac:dyDescent="0.25">
      <c r="A563">
        <v>698</v>
      </c>
      <c r="B563">
        <v>628</v>
      </c>
      <c r="C563" t="s">
        <v>22</v>
      </c>
      <c r="D563" t="s">
        <v>440</v>
      </c>
      <c r="E563" t="s">
        <v>27</v>
      </c>
      <c r="F563" t="s">
        <v>533</v>
      </c>
      <c r="G563" t="str">
        <f>VLOOKUP(F563,Hospitals!E:H,4,FALSE)</f>
        <v>28.19068 , 76.62176</v>
      </c>
      <c r="H563" s="1">
        <v>45429</v>
      </c>
      <c r="I563" s="1">
        <v>45429</v>
      </c>
      <c r="J563">
        <v>4.4589999999999996</v>
      </c>
      <c r="K563">
        <v>4.1420000000000003</v>
      </c>
      <c r="L563">
        <v>3.9769999999999999</v>
      </c>
      <c r="M563">
        <v>17.646999999999998</v>
      </c>
      <c r="N563">
        <v>17.390999999999998</v>
      </c>
      <c r="O563">
        <v>17.390999999999998</v>
      </c>
      <c r="P563">
        <v>17.646999999999998</v>
      </c>
      <c r="Q563">
        <v>17.390999999999998</v>
      </c>
      <c r="R563">
        <v>17.390999999999998</v>
      </c>
      <c r="S563">
        <v>0</v>
      </c>
      <c r="T563">
        <v>0</v>
      </c>
      <c r="U563">
        <v>0</v>
      </c>
      <c r="V563">
        <f t="shared" si="24"/>
        <v>9.93825</v>
      </c>
      <c r="W563">
        <f t="shared" si="25"/>
        <v>9.7309999999999981</v>
      </c>
      <c r="X563">
        <f t="shared" si="26"/>
        <v>9.6897500000000001</v>
      </c>
      <c r="Y563">
        <v>13</v>
      </c>
      <c r="Z563" s="2" t="s">
        <v>442</v>
      </c>
    </row>
    <row r="564" spans="1:26" x14ac:dyDescent="0.25">
      <c r="A564">
        <v>696</v>
      </c>
      <c r="B564">
        <v>629</v>
      </c>
      <c r="C564" t="s">
        <v>22</v>
      </c>
      <c r="D564" t="s">
        <v>440</v>
      </c>
      <c r="E564" t="s">
        <v>27</v>
      </c>
      <c r="F564" t="s">
        <v>534</v>
      </c>
      <c r="G564" t="str">
        <f>VLOOKUP(F564,Hospitals!E:H,4,FALSE)</f>
        <v>28.22314 , 76.79495</v>
      </c>
      <c r="H564" s="1">
        <v>45418</v>
      </c>
      <c r="I564" s="1">
        <v>45418</v>
      </c>
      <c r="J564">
        <v>56.051000000000002</v>
      </c>
      <c r="K564">
        <v>52.070999999999998</v>
      </c>
      <c r="L564">
        <v>50</v>
      </c>
      <c r="M564">
        <v>29.411999999999999</v>
      </c>
      <c r="N564">
        <v>21.739000000000001</v>
      </c>
      <c r="O564">
        <v>21.739000000000001</v>
      </c>
      <c r="P564">
        <v>29.411999999999999</v>
      </c>
      <c r="Q564">
        <v>21.739000000000001</v>
      </c>
      <c r="R564">
        <v>21.739000000000001</v>
      </c>
      <c r="S564">
        <v>0</v>
      </c>
      <c r="T564">
        <v>0</v>
      </c>
      <c r="U564">
        <v>0</v>
      </c>
      <c r="V564">
        <f t="shared" si="24"/>
        <v>28.71875</v>
      </c>
      <c r="W564">
        <f t="shared" si="25"/>
        <v>23.887250000000002</v>
      </c>
      <c r="X564">
        <f t="shared" si="26"/>
        <v>23.369500000000002</v>
      </c>
      <c r="Y564">
        <v>13</v>
      </c>
      <c r="Z564" s="2" t="s">
        <v>442</v>
      </c>
    </row>
    <row r="565" spans="1:26" x14ac:dyDescent="0.25">
      <c r="A565">
        <v>754</v>
      </c>
      <c r="B565">
        <v>629</v>
      </c>
      <c r="C565" t="s">
        <v>22</v>
      </c>
      <c r="D565" t="s">
        <v>440</v>
      </c>
      <c r="E565" t="s">
        <v>27</v>
      </c>
      <c r="F565" t="s">
        <v>534</v>
      </c>
      <c r="G565" t="str">
        <f>VLOOKUP(F565,Hospitals!E:H,4,FALSE)</f>
        <v>28.22314 , 76.79495</v>
      </c>
      <c r="H565" s="1">
        <v>45432</v>
      </c>
      <c r="I565" t="s">
        <v>35</v>
      </c>
      <c r="J565">
        <v>56.051000000000002</v>
      </c>
      <c r="K565">
        <v>52.070999999999998</v>
      </c>
      <c r="L565">
        <v>50</v>
      </c>
      <c r="M565">
        <v>29.411999999999999</v>
      </c>
      <c r="N565">
        <v>21.739000000000001</v>
      </c>
      <c r="O565">
        <v>21.739000000000001</v>
      </c>
      <c r="P565">
        <v>29.411999999999999</v>
      </c>
      <c r="Q565">
        <v>21.739000000000001</v>
      </c>
      <c r="R565">
        <v>21.739000000000001</v>
      </c>
      <c r="S565">
        <v>0</v>
      </c>
      <c r="T565">
        <v>0</v>
      </c>
      <c r="U565">
        <v>0</v>
      </c>
      <c r="V565">
        <f t="shared" si="24"/>
        <v>28.71875</v>
      </c>
      <c r="W565">
        <f t="shared" si="25"/>
        <v>23.887250000000002</v>
      </c>
      <c r="X565">
        <f t="shared" si="26"/>
        <v>23.369500000000002</v>
      </c>
      <c r="Y565">
        <v>13</v>
      </c>
      <c r="Z565" s="2" t="s">
        <v>442</v>
      </c>
    </row>
    <row r="566" spans="1:26" x14ac:dyDescent="0.25">
      <c r="A566">
        <v>703</v>
      </c>
      <c r="B566">
        <v>630</v>
      </c>
      <c r="C566" t="s">
        <v>22</v>
      </c>
      <c r="D566" t="s">
        <v>440</v>
      </c>
      <c r="E566" t="s">
        <v>27</v>
      </c>
      <c r="F566" t="s">
        <v>535</v>
      </c>
      <c r="G566" t="str">
        <f>VLOOKUP(F566,Hospitals!E:H,4,FALSE)</f>
        <v>28.26219 , 76.57194</v>
      </c>
      <c r="H566" s="1">
        <v>45419</v>
      </c>
      <c r="I566" s="1">
        <v>45419</v>
      </c>
      <c r="J566">
        <v>47.134</v>
      </c>
      <c r="K566">
        <v>43.786999999999999</v>
      </c>
      <c r="L566">
        <v>42.045000000000002</v>
      </c>
      <c r="M566">
        <v>52.941000000000003</v>
      </c>
      <c r="N566">
        <v>39.130000000000003</v>
      </c>
      <c r="O566">
        <v>39.130000000000003</v>
      </c>
      <c r="P566">
        <v>52.941000000000003</v>
      </c>
      <c r="Q566">
        <v>39.130000000000003</v>
      </c>
      <c r="R566">
        <v>39.130000000000003</v>
      </c>
      <c r="S566">
        <v>0</v>
      </c>
      <c r="T566">
        <v>0</v>
      </c>
      <c r="U566">
        <v>0</v>
      </c>
      <c r="V566">
        <f t="shared" si="24"/>
        <v>38.254000000000005</v>
      </c>
      <c r="W566">
        <f t="shared" si="25"/>
        <v>30.511749999999999</v>
      </c>
      <c r="X566">
        <f t="shared" si="26"/>
        <v>30.076250000000002</v>
      </c>
      <c r="Y566">
        <v>13</v>
      </c>
      <c r="Z566" s="2" t="s">
        <v>442</v>
      </c>
    </row>
    <row r="567" spans="1:26" x14ac:dyDescent="0.25">
      <c r="A567">
        <v>1116</v>
      </c>
      <c r="B567">
        <v>632</v>
      </c>
      <c r="C567" t="s">
        <v>22</v>
      </c>
      <c r="D567" t="s">
        <v>536</v>
      </c>
      <c r="E567" t="s">
        <v>24</v>
      </c>
      <c r="F567" t="s">
        <v>537</v>
      </c>
      <c r="G567" t="str">
        <f>VLOOKUP(F567,Hospitals!E:H,4,FALSE)</f>
        <v>28.99051 , 76.98735</v>
      </c>
      <c r="H567" s="1">
        <v>45649</v>
      </c>
      <c r="I567" t="s">
        <v>35</v>
      </c>
      <c r="J567">
        <v>29.298999999999999</v>
      </c>
      <c r="K567">
        <v>27.219000000000001</v>
      </c>
      <c r="L567">
        <v>26.135999999999999</v>
      </c>
      <c r="M567">
        <v>23.529</v>
      </c>
      <c r="N567">
        <v>17.390999999999998</v>
      </c>
      <c r="O567">
        <v>17.390999999999998</v>
      </c>
      <c r="P567">
        <v>23.529</v>
      </c>
      <c r="Q567">
        <v>17.390999999999998</v>
      </c>
      <c r="R567">
        <v>17.390999999999998</v>
      </c>
      <c r="S567">
        <v>20</v>
      </c>
      <c r="T567">
        <v>8.3330000000000002</v>
      </c>
      <c r="U567">
        <v>0</v>
      </c>
      <c r="V567">
        <f t="shared" si="24"/>
        <v>24.08925</v>
      </c>
      <c r="W567">
        <f t="shared" si="25"/>
        <v>17.583500000000001</v>
      </c>
      <c r="X567">
        <f t="shared" si="26"/>
        <v>15.2295</v>
      </c>
      <c r="Y567">
        <v>13</v>
      </c>
      <c r="Z567" s="2" t="s">
        <v>538</v>
      </c>
    </row>
    <row r="568" spans="1:26" x14ac:dyDescent="0.25">
      <c r="A568">
        <v>1113</v>
      </c>
      <c r="B568">
        <v>635</v>
      </c>
      <c r="C568" t="s">
        <v>22</v>
      </c>
      <c r="D568" t="s">
        <v>536</v>
      </c>
      <c r="E568" t="s">
        <v>24</v>
      </c>
      <c r="F568" t="s">
        <v>539</v>
      </c>
      <c r="G568" t="str">
        <f>VLOOKUP(F568,Hospitals!E:H,4,FALSE)</f>
        <v>28.94397 , 76.31995</v>
      </c>
      <c r="H568" s="1">
        <v>45645</v>
      </c>
      <c r="I568" t="s">
        <v>35</v>
      </c>
      <c r="J568">
        <v>40.127000000000002</v>
      </c>
      <c r="K568">
        <v>37.277999999999999</v>
      </c>
      <c r="L568">
        <v>35.795000000000002</v>
      </c>
      <c r="M568">
        <v>47.058999999999997</v>
      </c>
      <c r="N568">
        <v>34.783000000000001</v>
      </c>
      <c r="O568">
        <v>34.783000000000001</v>
      </c>
      <c r="P568">
        <v>47.058999999999997</v>
      </c>
      <c r="Q568">
        <v>34.783000000000001</v>
      </c>
      <c r="R568">
        <v>34.783000000000001</v>
      </c>
      <c r="S568">
        <v>0</v>
      </c>
      <c r="T568">
        <v>0</v>
      </c>
      <c r="U568">
        <v>0</v>
      </c>
      <c r="V568">
        <f t="shared" si="24"/>
        <v>33.561250000000001</v>
      </c>
      <c r="W568">
        <f t="shared" si="25"/>
        <v>26.711000000000002</v>
      </c>
      <c r="X568">
        <f t="shared" si="26"/>
        <v>26.340250000000001</v>
      </c>
      <c r="Y568">
        <v>13</v>
      </c>
      <c r="Z568" s="2" t="s">
        <v>538</v>
      </c>
    </row>
    <row r="569" spans="1:26" x14ac:dyDescent="0.25">
      <c r="A569">
        <v>646</v>
      </c>
      <c r="B569">
        <v>639</v>
      </c>
      <c r="C569" t="s">
        <v>22</v>
      </c>
      <c r="D569" t="s">
        <v>536</v>
      </c>
      <c r="E569" t="s">
        <v>27</v>
      </c>
      <c r="F569" t="s">
        <v>540</v>
      </c>
      <c r="G569" t="str">
        <f>VLOOKUP(F569,Hospitals!E:H,4,FALSE)</f>
        <v>28.90345 , 76.57194</v>
      </c>
      <c r="H569" s="1">
        <v>45574</v>
      </c>
      <c r="I569" s="1">
        <v>45649</v>
      </c>
      <c r="J569">
        <v>42.037999999999997</v>
      </c>
      <c r="K569">
        <v>39.052999999999997</v>
      </c>
      <c r="L569">
        <v>37.5</v>
      </c>
      <c r="M569">
        <v>23.529</v>
      </c>
      <c r="N569">
        <v>17.390999999999998</v>
      </c>
      <c r="O569">
        <v>17.390999999999998</v>
      </c>
      <c r="P569">
        <v>23.529</v>
      </c>
      <c r="Q569">
        <v>17.390999999999998</v>
      </c>
      <c r="R569">
        <v>17.390999999999998</v>
      </c>
      <c r="S569">
        <v>0</v>
      </c>
      <c r="T569">
        <v>0</v>
      </c>
      <c r="U569">
        <v>0</v>
      </c>
      <c r="V569">
        <f t="shared" si="24"/>
        <v>22.273999999999997</v>
      </c>
      <c r="W569">
        <f t="shared" si="25"/>
        <v>18.458749999999998</v>
      </c>
      <c r="X569">
        <f t="shared" si="26"/>
        <v>18.070499999999999</v>
      </c>
      <c r="Y569">
        <v>13</v>
      </c>
      <c r="Z569" s="2" t="s">
        <v>538</v>
      </c>
    </row>
    <row r="570" spans="1:26" x14ac:dyDescent="0.25">
      <c r="A570">
        <v>1120</v>
      </c>
      <c r="B570">
        <v>639</v>
      </c>
      <c r="C570" t="s">
        <v>22</v>
      </c>
      <c r="D570" t="s">
        <v>536</v>
      </c>
      <c r="E570" t="s">
        <v>27</v>
      </c>
      <c r="F570" t="s">
        <v>540</v>
      </c>
      <c r="G570" t="str">
        <f>VLOOKUP(F570,Hospitals!E:H,4,FALSE)</f>
        <v>28.90345 , 76.57194</v>
      </c>
      <c r="H570" s="1">
        <v>45649</v>
      </c>
      <c r="I570" s="1">
        <v>45649</v>
      </c>
      <c r="J570">
        <v>42.037999999999997</v>
      </c>
      <c r="K570">
        <v>39.052999999999997</v>
      </c>
      <c r="L570">
        <v>37.5</v>
      </c>
      <c r="M570">
        <v>23.529</v>
      </c>
      <c r="N570">
        <v>17.390999999999998</v>
      </c>
      <c r="O570">
        <v>17.390999999999998</v>
      </c>
      <c r="P570">
        <v>23.529</v>
      </c>
      <c r="Q570">
        <v>17.390999999999998</v>
      </c>
      <c r="R570">
        <v>17.390999999999998</v>
      </c>
      <c r="S570">
        <v>0</v>
      </c>
      <c r="T570">
        <v>0</v>
      </c>
      <c r="U570">
        <v>0</v>
      </c>
      <c r="V570">
        <f t="shared" si="24"/>
        <v>22.273999999999997</v>
      </c>
      <c r="W570">
        <f t="shared" si="25"/>
        <v>18.458749999999998</v>
      </c>
      <c r="X570">
        <f t="shared" si="26"/>
        <v>18.070499999999999</v>
      </c>
      <c r="Y570">
        <v>13</v>
      </c>
      <c r="Z570" s="2" t="s">
        <v>538</v>
      </c>
    </row>
    <row r="571" spans="1:26" x14ac:dyDescent="0.25">
      <c r="A571">
        <v>1149</v>
      </c>
      <c r="B571">
        <v>65</v>
      </c>
      <c r="C571" t="s">
        <v>22</v>
      </c>
      <c r="D571" t="s">
        <v>29</v>
      </c>
      <c r="E571" t="s">
        <v>27</v>
      </c>
      <c r="F571" t="s">
        <v>541</v>
      </c>
      <c r="G571" t="str">
        <f>VLOOKUP(F571,Hospitals!E:H,4,FALSE)</f>
        <v>28.46556 , 77.00152</v>
      </c>
      <c r="H571" s="1">
        <v>45692</v>
      </c>
      <c r="I571" t="s">
        <v>35</v>
      </c>
      <c r="J571">
        <v>53.503</v>
      </c>
      <c r="K571">
        <v>49.704000000000001</v>
      </c>
      <c r="L571">
        <v>48.295000000000002</v>
      </c>
      <c r="M571">
        <v>35.293999999999997</v>
      </c>
      <c r="N571">
        <v>26.087</v>
      </c>
      <c r="O571">
        <v>26.087</v>
      </c>
      <c r="P571">
        <v>35.293999999999997</v>
      </c>
      <c r="Q571">
        <v>26.087</v>
      </c>
      <c r="R571">
        <v>26.087</v>
      </c>
      <c r="S571">
        <v>0</v>
      </c>
      <c r="T571">
        <v>0</v>
      </c>
      <c r="U571">
        <v>0</v>
      </c>
      <c r="V571">
        <f t="shared" si="24"/>
        <v>31.022749999999998</v>
      </c>
      <c r="W571">
        <f t="shared" si="25"/>
        <v>25.4695</v>
      </c>
      <c r="X571">
        <f t="shared" si="26"/>
        <v>25.117250000000002</v>
      </c>
      <c r="Y571">
        <v>13</v>
      </c>
      <c r="Z571" s="2" t="s">
        <v>31</v>
      </c>
    </row>
    <row r="572" spans="1:26" x14ac:dyDescent="0.25">
      <c r="A572">
        <v>1114</v>
      </c>
      <c r="B572">
        <v>652</v>
      </c>
      <c r="C572" t="s">
        <v>22</v>
      </c>
      <c r="D572" t="s">
        <v>536</v>
      </c>
      <c r="E572" t="s">
        <v>27</v>
      </c>
      <c r="F572" t="s">
        <v>542</v>
      </c>
      <c r="G572" t="e">
        <f>VLOOKUP(F572,Hospitals!E:H,4,FALSE)</f>
        <v>#N/A</v>
      </c>
      <c r="H572" s="1">
        <v>45645</v>
      </c>
      <c r="I572" t="s">
        <v>35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f t="shared" si="24"/>
        <v>0</v>
      </c>
      <c r="W572">
        <f t="shared" si="25"/>
        <v>0</v>
      </c>
      <c r="X572">
        <f t="shared" si="26"/>
        <v>0</v>
      </c>
      <c r="Y572">
        <v>13</v>
      </c>
      <c r="Z572" s="2" t="s">
        <v>538</v>
      </c>
    </row>
    <row r="573" spans="1:26" x14ac:dyDescent="0.25">
      <c r="A573">
        <v>543</v>
      </c>
      <c r="B573">
        <v>656</v>
      </c>
      <c r="C573" t="s">
        <v>22</v>
      </c>
      <c r="D573" t="s">
        <v>536</v>
      </c>
      <c r="E573" t="s">
        <v>30</v>
      </c>
      <c r="F573" t="s">
        <v>543</v>
      </c>
      <c r="G573" t="str">
        <f>VLOOKUP(F573,Hospitals!E:H,4,FALSE)</f>
        <v>28.89511 , 76.59143</v>
      </c>
      <c r="H573" s="1">
        <v>45385</v>
      </c>
      <c r="I573" s="1">
        <v>45385</v>
      </c>
      <c r="J573">
        <v>72.611000000000004</v>
      </c>
      <c r="K573">
        <v>70.414000000000001</v>
      </c>
      <c r="L573">
        <v>68.182000000000002</v>
      </c>
      <c r="M573">
        <v>41.176000000000002</v>
      </c>
      <c r="N573">
        <v>39.130000000000003</v>
      </c>
      <c r="O573">
        <v>39.130000000000003</v>
      </c>
      <c r="P573">
        <v>41.176000000000002</v>
      </c>
      <c r="Q573">
        <v>39.130000000000003</v>
      </c>
      <c r="R573">
        <v>39.130000000000003</v>
      </c>
      <c r="S573">
        <v>10</v>
      </c>
      <c r="T573">
        <v>8.3330000000000002</v>
      </c>
      <c r="U573">
        <v>7.1429999999999998</v>
      </c>
      <c r="V573">
        <f t="shared" si="24"/>
        <v>41.240750000000006</v>
      </c>
      <c r="W573">
        <f t="shared" si="25"/>
        <v>39.251750000000001</v>
      </c>
      <c r="X573">
        <f t="shared" si="26"/>
        <v>38.396250000000002</v>
      </c>
      <c r="Y573">
        <v>13</v>
      </c>
      <c r="Z573" s="2" t="s">
        <v>538</v>
      </c>
    </row>
    <row r="574" spans="1:26" x14ac:dyDescent="0.25">
      <c r="A574">
        <v>563</v>
      </c>
      <c r="B574">
        <v>657</v>
      </c>
      <c r="C574" t="s">
        <v>22</v>
      </c>
      <c r="D574" t="s">
        <v>536</v>
      </c>
      <c r="E574" t="s">
        <v>30</v>
      </c>
      <c r="F574" t="s">
        <v>544</v>
      </c>
      <c r="G574" t="str">
        <f>VLOOKUP(F574,Hospitals!E:H,4,FALSE)</f>
        <v>29.42566 , 76.98514</v>
      </c>
      <c r="H574" s="1">
        <v>45396</v>
      </c>
      <c r="I574" s="1">
        <v>45396</v>
      </c>
      <c r="J574">
        <v>94.903999999999996</v>
      </c>
      <c r="K574">
        <v>94.674999999999997</v>
      </c>
      <c r="L574">
        <v>94.317999999999998</v>
      </c>
      <c r="M574">
        <v>88.234999999999999</v>
      </c>
      <c r="N574">
        <v>86.956999999999994</v>
      </c>
      <c r="O574">
        <v>86.956999999999994</v>
      </c>
      <c r="P574">
        <v>88.234999999999999</v>
      </c>
      <c r="Q574">
        <v>86.956999999999994</v>
      </c>
      <c r="R574">
        <v>86.956999999999994</v>
      </c>
      <c r="S574">
        <v>10</v>
      </c>
      <c r="T574">
        <v>16.667000000000002</v>
      </c>
      <c r="U574">
        <v>14.286</v>
      </c>
      <c r="V574">
        <f t="shared" si="24"/>
        <v>70.343500000000006</v>
      </c>
      <c r="W574">
        <f t="shared" si="25"/>
        <v>71.313999999999993</v>
      </c>
      <c r="X574">
        <f t="shared" si="26"/>
        <v>70.629499999999993</v>
      </c>
      <c r="Y574">
        <v>13</v>
      </c>
      <c r="Z574" s="2" t="s">
        <v>538</v>
      </c>
    </row>
    <row r="575" spans="1:26" x14ac:dyDescent="0.25">
      <c r="A575">
        <v>559</v>
      </c>
      <c r="B575">
        <v>658</v>
      </c>
      <c r="C575" t="s">
        <v>22</v>
      </c>
      <c r="D575" t="s">
        <v>536</v>
      </c>
      <c r="E575" t="s">
        <v>30</v>
      </c>
      <c r="F575" t="s">
        <v>545</v>
      </c>
      <c r="G575" t="str">
        <f>VLOOKUP(F575,Hospitals!E:H,4,FALSE)</f>
        <v>28.91336 , 76.62399</v>
      </c>
      <c r="H575" s="1">
        <v>45391</v>
      </c>
      <c r="I575" s="1">
        <v>45391</v>
      </c>
      <c r="J575">
        <v>99.363</v>
      </c>
      <c r="K575">
        <v>99.408000000000001</v>
      </c>
      <c r="L575">
        <v>99.432000000000002</v>
      </c>
      <c r="M575">
        <v>100</v>
      </c>
      <c r="N575">
        <v>95.652000000000001</v>
      </c>
      <c r="O575">
        <v>95.652000000000001</v>
      </c>
      <c r="P575">
        <v>100</v>
      </c>
      <c r="Q575">
        <v>95.652000000000001</v>
      </c>
      <c r="R575">
        <v>95.652000000000001</v>
      </c>
      <c r="S575">
        <v>50</v>
      </c>
      <c r="T575">
        <v>58.332999999999998</v>
      </c>
      <c r="U575">
        <v>50</v>
      </c>
      <c r="V575">
        <f t="shared" si="24"/>
        <v>87.34075</v>
      </c>
      <c r="W575">
        <f t="shared" si="25"/>
        <v>87.26124999999999</v>
      </c>
      <c r="X575">
        <f t="shared" si="26"/>
        <v>85.183999999999997</v>
      </c>
      <c r="Y575">
        <v>13</v>
      </c>
      <c r="Z575" s="2" t="s">
        <v>538</v>
      </c>
    </row>
    <row r="576" spans="1:26" x14ac:dyDescent="0.25">
      <c r="A576">
        <v>542</v>
      </c>
      <c r="B576">
        <v>659</v>
      </c>
      <c r="C576" t="s">
        <v>22</v>
      </c>
      <c r="D576" t="s">
        <v>536</v>
      </c>
      <c r="E576" t="s">
        <v>30</v>
      </c>
      <c r="F576" t="s">
        <v>546</v>
      </c>
      <c r="G576" t="str">
        <f>VLOOKUP(F576,Hospitals!E:H,4,FALSE)</f>
        <v>28.89551 , 76.59866</v>
      </c>
      <c r="H576" s="1">
        <v>45386</v>
      </c>
      <c r="I576" s="1">
        <v>45386</v>
      </c>
      <c r="J576">
        <v>91.082999999999998</v>
      </c>
      <c r="K576">
        <v>90.533000000000001</v>
      </c>
      <c r="L576">
        <v>89.772999999999996</v>
      </c>
      <c r="M576">
        <v>88.234999999999999</v>
      </c>
      <c r="N576">
        <v>82.608999999999995</v>
      </c>
      <c r="O576">
        <v>82.608999999999995</v>
      </c>
      <c r="P576">
        <v>88.234999999999999</v>
      </c>
      <c r="Q576">
        <v>82.608999999999995</v>
      </c>
      <c r="R576">
        <v>82.608999999999995</v>
      </c>
      <c r="S576">
        <v>40</v>
      </c>
      <c r="T576">
        <v>16.667000000000002</v>
      </c>
      <c r="U576">
        <v>14.286</v>
      </c>
      <c r="V576">
        <f t="shared" si="24"/>
        <v>76.888249999999999</v>
      </c>
      <c r="W576">
        <f t="shared" si="25"/>
        <v>68.104500000000002</v>
      </c>
      <c r="X576">
        <f t="shared" si="26"/>
        <v>67.319249999999997</v>
      </c>
      <c r="Y576">
        <v>13</v>
      </c>
      <c r="Z576" s="2" t="s">
        <v>538</v>
      </c>
    </row>
    <row r="577" spans="1:26" x14ac:dyDescent="0.25">
      <c r="A577">
        <v>546</v>
      </c>
      <c r="B577">
        <v>660</v>
      </c>
      <c r="C577" t="s">
        <v>22</v>
      </c>
      <c r="D577" t="s">
        <v>536</v>
      </c>
      <c r="E577" t="s">
        <v>30</v>
      </c>
      <c r="F577" t="s">
        <v>547</v>
      </c>
      <c r="G577" t="str">
        <f>VLOOKUP(F577,Hospitals!E:H,4,FALSE)</f>
        <v>28.89796 , 76.58355</v>
      </c>
      <c r="H577" s="1">
        <v>45562</v>
      </c>
      <c r="I577" s="1">
        <v>45562</v>
      </c>
      <c r="J577">
        <v>58.598999999999997</v>
      </c>
      <c r="K577">
        <v>56.213000000000001</v>
      </c>
      <c r="L577">
        <v>53.976999999999997</v>
      </c>
      <c r="M577">
        <v>52.941000000000003</v>
      </c>
      <c r="N577">
        <v>52.173999999999999</v>
      </c>
      <c r="O577">
        <v>52.173999999999999</v>
      </c>
      <c r="P577">
        <v>52.941000000000003</v>
      </c>
      <c r="Q577">
        <v>52.173999999999999</v>
      </c>
      <c r="R577">
        <v>52.173999999999999</v>
      </c>
      <c r="S577">
        <v>20</v>
      </c>
      <c r="T577">
        <v>8.3330000000000002</v>
      </c>
      <c r="U577">
        <v>0</v>
      </c>
      <c r="V577">
        <f t="shared" si="24"/>
        <v>46.120249999999999</v>
      </c>
      <c r="W577">
        <f t="shared" si="25"/>
        <v>42.223500000000001</v>
      </c>
      <c r="X577">
        <f t="shared" si="26"/>
        <v>39.581249999999997</v>
      </c>
      <c r="Y577">
        <v>13</v>
      </c>
      <c r="Z577" s="2" t="s">
        <v>538</v>
      </c>
    </row>
    <row r="578" spans="1:26" x14ac:dyDescent="0.25">
      <c r="A578">
        <v>505</v>
      </c>
      <c r="B578">
        <v>661</v>
      </c>
      <c r="C578" t="s">
        <v>22</v>
      </c>
      <c r="D578" t="s">
        <v>536</v>
      </c>
      <c r="E578" t="s">
        <v>30</v>
      </c>
      <c r="F578" t="s">
        <v>548</v>
      </c>
      <c r="G578" t="str">
        <f>VLOOKUP(F578,Hospitals!E:H,4,FALSE)</f>
        <v>28.89477 , 76.62971</v>
      </c>
      <c r="H578" s="1">
        <v>45378</v>
      </c>
      <c r="I578" s="1">
        <v>45386</v>
      </c>
      <c r="J578">
        <v>98.088999999999999</v>
      </c>
      <c r="K578">
        <v>97.632999999999996</v>
      </c>
      <c r="L578">
        <v>97.159000000000006</v>
      </c>
      <c r="M578">
        <v>100</v>
      </c>
      <c r="N578">
        <v>100</v>
      </c>
      <c r="O578">
        <v>100</v>
      </c>
      <c r="P578">
        <v>100</v>
      </c>
      <c r="Q578">
        <v>100</v>
      </c>
      <c r="R578">
        <v>100</v>
      </c>
      <c r="S578">
        <v>20</v>
      </c>
      <c r="T578">
        <v>25</v>
      </c>
      <c r="U578">
        <v>7.1429999999999998</v>
      </c>
      <c r="V578">
        <f t="shared" si="24"/>
        <v>79.52225</v>
      </c>
      <c r="W578">
        <f t="shared" si="25"/>
        <v>80.658249999999995</v>
      </c>
      <c r="X578">
        <f t="shared" si="26"/>
        <v>76.075499999999991</v>
      </c>
      <c r="Y578">
        <v>13</v>
      </c>
      <c r="Z578" s="2" t="s">
        <v>538</v>
      </c>
    </row>
    <row r="579" spans="1:26" x14ac:dyDescent="0.25">
      <c r="A579">
        <v>565</v>
      </c>
      <c r="B579">
        <v>662</v>
      </c>
      <c r="C579" t="s">
        <v>22</v>
      </c>
      <c r="D579" t="s">
        <v>536</v>
      </c>
      <c r="E579" t="s">
        <v>30</v>
      </c>
      <c r="F579" t="s">
        <v>549</v>
      </c>
      <c r="G579" t="str">
        <f>VLOOKUP(F579,Hospitals!E:H,4,FALSE)</f>
        <v>28.8946 , 76.60227</v>
      </c>
      <c r="H579" s="1">
        <v>45386</v>
      </c>
      <c r="I579" s="1">
        <v>45386</v>
      </c>
      <c r="J579">
        <v>92.356999999999999</v>
      </c>
      <c r="K579">
        <v>92.308000000000007</v>
      </c>
      <c r="L579">
        <v>92.614000000000004</v>
      </c>
      <c r="M579">
        <v>76.471000000000004</v>
      </c>
      <c r="N579">
        <v>78.260999999999996</v>
      </c>
      <c r="O579">
        <v>78.260999999999996</v>
      </c>
      <c r="P579">
        <v>76.471000000000004</v>
      </c>
      <c r="Q579">
        <v>78.260999999999996</v>
      </c>
      <c r="R579">
        <v>78.260999999999996</v>
      </c>
      <c r="S579">
        <v>20</v>
      </c>
      <c r="T579">
        <v>25</v>
      </c>
      <c r="U579">
        <v>7.1429999999999998</v>
      </c>
      <c r="V579">
        <f t="shared" ref="V579:V642" si="27">AVERAGE(J579,M579,P579,S579)</f>
        <v>66.324749999999995</v>
      </c>
      <c r="W579">
        <f t="shared" ref="W579:W642" si="28">AVERAGE(K579,N579,Q579,T579)</f>
        <v>68.45750000000001</v>
      </c>
      <c r="X579">
        <f t="shared" ref="X579:X642" si="29">AVERAGE(L579,O579,R579,U579)</f>
        <v>64.069749999999999</v>
      </c>
      <c r="Y579">
        <v>13</v>
      </c>
      <c r="Z579" s="2" t="s">
        <v>538</v>
      </c>
    </row>
    <row r="580" spans="1:26" x14ac:dyDescent="0.25">
      <c r="A580">
        <v>489</v>
      </c>
      <c r="B580">
        <v>663</v>
      </c>
      <c r="C580" t="s">
        <v>22</v>
      </c>
      <c r="D580" t="s">
        <v>536</v>
      </c>
      <c r="E580" t="s">
        <v>30</v>
      </c>
      <c r="F580" t="s">
        <v>550</v>
      </c>
      <c r="G580" t="str">
        <f>VLOOKUP(F580,Hospitals!E:H,4,FALSE)</f>
        <v>28.64579 , 77.23745</v>
      </c>
      <c r="H580" s="1">
        <v>45385</v>
      </c>
      <c r="I580" s="1">
        <v>45385</v>
      </c>
      <c r="J580">
        <v>90.445999999999998</v>
      </c>
      <c r="K580">
        <v>88.757000000000005</v>
      </c>
      <c r="L580">
        <v>88.635999999999996</v>
      </c>
      <c r="M580">
        <v>94.117999999999995</v>
      </c>
      <c r="N580">
        <v>91.304000000000002</v>
      </c>
      <c r="O580">
        <v>91.304000000000002</v>
      </c>
      <c r="P580">
        <v>94.117999999999995</v>
      </c>
      <c r="Q580">
        <v>91.304000000000002</v>
      </c>
      <c r="R580">
        <v>91.304000000000002</v>
      </c>
      <c r="S580">
        <v>40</v>
      </c>
      <c r="T580">
        <v>25</v>
      </c>
      <c r="U580">
        <v>7.1429999999999998</v>
      </c>
      <c r="V580">
        <f t="shared" si="27"/>
        <v>79.670500000000004</v>
      </c>
      <c r="W580">
        <f t="shared" si="28"/>
        <v>74.091250000000002</v>
      </c>
      <c r="X580">
        <f t="shared" si="29"/>
        <v>69.59675</v>
      </c>
      <c r="Y580">
        <v>13</v>
      </c>
      <c r="Z580" s="2" t="s">
        <v>538</v>
      </c>
    </row>
    <row r="581" spans="1:26" x14ac:dyDescent="0.25">
      <c r="A581">
        <v>648</v>
      </c>
      <c r="B581">
        <v>664</v>
      </c>
      <c r="C581" t="s">
        <v>22</v>
      </c>
      <c r="D581" t="s">
        <v>536</v>
      </c>
      <c r="E581" t="s">
        <v>30</v>
      </c>
      <c r="F581" t="s">
        <v>551</v>
      </c>
      <c r="G581" t="str">
        <f>VLOOKUP(F581,Hospitals!E:H,4,FALSE)</f>
        <v>28.89673 , 76.60944</v>
      </c>
      <c r="H581" s="1">
        <v>45406</v>
      </c>
      <c r="I581" t="s">
        <v>35</v>
      </c>
      <c r="J581">
        <v>87.897999999999996</v>
      </c>
      <c r="K581">
        <v>88.165999999999997</v>
      </c>
      <c r="L581">
        <v>86.932000000000002</v>
      </c>
      <c r="M581">
        <v>41.176000000000002</v>
      </c>
      <c r="N581">
        <v>52.173999999999999</v>
      </c>
      <c r="O581">
        <v>52.173999999999999</v>
      </c>
      <c r="P581">
        <v>41.176000000000002</v>
      </c>
      <c r="Q581">
        <v>52.173999999999999</v>
      </c>
      <c r="R581">
        <v>52.173999999999999</v>
      </c>
      <c r="S581">
        <v>50</v>
      </c>
      <c r="T581">
        <v>33.332999999999998</v>
      </c>
      <c r="U581">
        <v>14.286</v>
      </c>
      <c r="V581">
        <f t="shared" si="27"/>
        <v>55.0625</v>
      </c>
      <c r="W581">
        <f t="shared" si="28"/>
        <v>56.461750000000002</v>
      </c>
      <c r="X581">
        <f t="shared" si="29"/>
        <v>51.391500000000001</v>
      </c>
      <c r="Y581">
        <v>13</v>
      </c>
      <c r="Z581" s="2" t="s">
        <v>538</v>
      </c>
    </row>
    <row r="582" spans="1:26" x14ac:dyDescent="0.25">
      <c r="A582">
        <v>602</v>
      </c>
      <c r="B582">
        <v>666</v>
      </c>
      <c r="C582" t="s">
        <v>22</v>
      </c>
      <c r="D582" t="s">
        <v>536</v>
      </c>
      <c r="E582" t="s">
        <v>30</v>
      </c>
      <c r="F582" t="s">
        <v>552</v>
      </c>
      <c r="G582" t="str">
        <f>VLOOKUP(F582,Hospitals!E:H,4,FALSE)</f>
        <v>28.6294 , 77.28988</v>
      </c>
      <c r="H582" s="1">
        <v>45386</v>
      </c>
      <c r="I582" s="1">
        <v>45386</v>
      </c>
      <c r="J582">
        <v>99.363</v>
      </c>
      <c r="K582">
        <v>98.816999999999993</v>
      </c>
      <c r="L582">
        <v>98.295000000000002</v>
      </c>
      <c r="M582">
        <v>82.352999999999994</v>
      </c>
      <c r="N582">
        <v>82.608999999999995</v>
      </c>
      <c r="O582">
        <v>82.608999999999995</v>
      </c>
      <c r="P582">
        <v>82.352999999999994</v>
      </c>
      <c r="Q582">
        <v>82.608999999999995</v>
      </c>
      <c r="R582">
        <v>82.608999999999995</v>
      </c>
      <c r="S582">
        <v>10</v>
      </c>
      <c r="T582">
        <v>16.667000000000002</v>
      </c>
      <c r="U582">
        <v>14.286</v>
      </c>
      <c r="V582">
        <f t="shared" si="27"/>
        <v>68.517250000000004</v>
      </c>
      <c r="W582">
        <f t="shared" si="28"/>
        <v>70.1755</v>
      </c>
      <c r="X582">
        <f t="shared" si="29"/>
        <v>69.449749999999995</v>
      </c>
      <c r="Y582">
        <v>13</v>
      </c>
      <c r="Z582" s="2" t="s">
        <v>538</v>
      </c>
    </row>
    <row r="583" spans="1:26" x14ac:dyDescent="0.25">
      <c r="A583">
        <v>1072</v>
      </c>
      <c r="B583">
        <v>667</v>
      </c>
      <c r="C583" t="s">
        <v>22</v>
      </c>
      <c r="D583" t="s">
        <v>536</v>
      </c>
      <c r="E583" t="s">
        <v>30</v>
      </c>
      <c r="F583" t="s">
        <v>553</v>
      </c>
      <c r="G583" t="e">
        <f>VLOOKUP(F583,Hospitals!E:H,4,FALSE)</f>
        <v>#N/A</v>
      </c>
      <c r="H583" s="1">
        <v>45566</v>
      </c>
      <c r="I583" t="s">
        <v>35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f t="shared" si="27"/>
        <v>0</v>
      </c>
      <c r="W583">
        <f t="shared" si="28"/>
        <v>0</v>
      </c>
      <c r="X583">
        <f t="shared" si="29"/>
        <v>0</v>
      </c>
      <c r="Y583">
        <v>13</v>
      </c>
      <c r="Z583" s="2" t="s">
        <v>538</v>
      </c>
    </row>
    <row r="584" spans="1:26" x14ac:dyDescent="0.25">
      <c r="A584">
        <v>363</v>
      </c>
      <c r="B584">
        <v>668</v>
      </c>
      <c r="C584" t="s">
        <v>22</v>
      </c>
      <c r="D584" t="s">
        <v>536</v>
      </c>
      <c r="E584" t="s">
        <v>30</v>
      </c>
      <c r="F584" t="s">
        <v>554</v>
      </c>
      <c r="G584" t="str">
        <f>VLOOKUP(F584,Hospitals!E:H,4,FALSE)</f>
        <v>30.90096 , 75.85728</v>
      </c>
      <c r="H584" s="1">
        <v>45364</v>
      </c>
      <c r="I584" t="s">
        <v>35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f t="shared" si="27"/>
        <v>0</v>
      </c>
      <c r="W584">
        <f t="shared" si="28"/>
        <v>0</v>
      </c>
      <c r="X584">
        <f t="shared" si="29"/>
        <v>0</v>
      </c>
      <c r="Y584">
        <v>13</v>
      </c>
      <c r="Z584" s="2" t="s">
        <v>538</v>
      </c>
    </row>
    <row r="585" spans="1:26" x14ac:dyDescent="0.25">
      <c r="A585">
        <v>512</v>
      </c>
      <c r="B585">
        <v>668</v>
      </c>
      <c r="C585" t="s">
        <v>22</v>
      </c>
      <c r="D585" t="s">
        <v>536</v>
      </c>
      <c r="E585" t="s">
        <v>30</v>
      </c>
      <c r="F585" t="s">
        <v>554</v>
      </c>
      <c r="G585" t="str">
        <f>VLOOKUP(F585,Hospitals!E:H,4,FALSE)</f>
        <v>30.90096 , 75.85728</v>
      </c>
      <c r="H585" s="1">
        <v>45395</v>
      </c>
      <c r="I585" s="1">
        <v>45400</v>
      </c>
      <c r="J585">
        <v>91.72</v>
      </c>
      <c r="K585">
        <v>91.123999999999995</v>
      </c>
      <c r="L585">
        <v>88.635999999999996</v>
      </c>
      <c r="M585">
        <v>82.352999999999994</v>
      </c>
      <c r="N585">
        <v>78.260999999999996</v>
      </c>
      <c r="O585">
        <v>78.260999999999996</v>
      </c>
      <c r="P585">
        <v>82.352999999999994</v>
      </c>
      <c r="Q585">
        <v>78.260999999999996</v>
      </c>
      <c r="R585">
        <v>78.260999999999996</v>
      </c>
      <c r="S585">
        <v>30</v>
      </c>
      <c r="T585">
        <v>25</v>
      </c>
      <c r="U585">
        <v>14.286</v>
      </c>
      <c r="V585">
        <f t="shared" si="27"/>
        <v>71.606499999999997</v>
      </c>
      <c r="W585">
        <f t="shared" si="28"/>
        <v>68.16149999999999</v>
      </c>
      <c r="X585">
        <f t="shared" si="29"/>
        <v>64.86099999999999</v>
      </c>
      <c r="Y585">
        <v>13</v>
      </c>
      <c r="Z585" s="2" t="s">
        <v>538</v>
      </c>
    </row>
    <row r="586" spans="1:26" x14ac:dyDescent="0.25">
      <c r="A586">
        <v>617</v>
      </c>
      <c r="B586">
        <v>669</v>
      </c>
      <c r="C586" t="s">
        <v>22</v>
      </c>
      <c r="D586" t="s">
        <v>536</v>
      </c>
      <c r="E586" t="s">
        <v>30</v>
      </c>
      <c r="F586" t="s">
        <v>555</v>
      </c>
      <c r="G586" t="e">
        <f>VLOOKUP(F586,Hospitals!E:H,4,FALSE)</f>
        <v>#N/A</v>
      </c>
      <c r="H586" s="1">
        <v>45566</v>
      </c>
      <c r="I586" t="s">
        <v>35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f t="shared" si="27"/>
        <v>0</v>
      </c>
      <c r="W586">
        <f t="shared" si="28"/>
        <v>0</v>
      </c>
      <c r="X586">
        <f t="shared" si="29"/>
        <v>0</v>
      </c>
      <c r="Y586">
        <v>13</v>
      </c>
      <c r="Z586" s="2" t="s">
        <v>538</v>
      </c>
    </row>
    <row r="587" spans="1:26" x14ac:dyDescent="0.25">
      <c r="A587">
        <v>1135</v>
      </c>
      <c r="B587">
        <v>67</v>
      </c>
      <c r="C587" t="s">
        <v>22</v>
      </c>
      <c r="D587" t="s">
        <v>29</v>
      </c>
      <c r="E587" t="s">
        <v>27</v>
      </c>
      <c r="F587" t="s">
        <v>556</v>
      </c>
      <c r="G587" t="str">
        <f>VLOOKUP(F587,Hospitals!E:H,4,FALSE)</f>
        <v>27.57059 , 80.09819</v>
      </c>
      <c r="H587" s="1">
        <v>45678</v>
      </c>
      <c r="I587" s="1">
        <v>45678</v>
      </c>
      <c r="J587">
        <v>5.7320000000000002</v>
      </c>
      <c r="K587">
        <v>5.3250000000000002</v>
      </c>
      <c r="L587">
        <v>5.1139999999999999</v>
      </c>
      <c r="M587">
        <v>5.8819999999999997</v>
      </c>
      <c r="N587">
        <v>4.3479999999999999</v>
      </c>
      <c r="O587">
        <v>4.3479999999999999</v>
      </c>
      <c r="P587">
        <v>5.8819999999999997</v>
      </c>
      <c r="Q587">
        <v>4.3479999999999999</v>
      </c>
      <c r="R587">
        <v>4.3479999999999999</v>
      </c>
      <c r="S587">
        <v>0</v>
      </c>
      <c r="T587">
        <v>0</v>
      </c>
      <c r="U587">
        <v>0</v>
      </c>
      <c r="V587">
        <f t="shared" si="27"/>
        <v>4.3740000000000006</v>
      </c>
      <c r="W587">
        <f t="shared" si="28"/>
        <v>3.5052500000000002</v>
      </c>
      <c r="X587">
        <f t="shared" si="29"/>
        <v>3.4524999999999997</v>
      </c>
      <c r="Y587">
        <v>13</v>
      </c>
      <c r="Z587" s="2" t="s">
        <v>31</v>
      </c>
    </row>
    <row r="588" spans="1:26" x14ac:dyDescent="0.25">
      <c r="A588">
        <v>639</v>
      </c>
      <c r="B588">
        <v>670</v>
      </c>
      <c r="C588" t="s">
        <v>22</v>
      </c>
      <c r="D588" t="s">
        <v>536</v>
      </c>
      <c r="E588" t="s">
        <v>30</v>
      </c>
      <c r="F588" t="s">
        <v>557</v>
      </c>
      <c r="G588" t="str">
        <f>VLOOKUP(F588,Hospitals!E:H,4,FALSE)</f>
        <v>28.65646 , 76.84903</v>
      </c>
      <c r="H588" s="1">
        <v>45398</v>
      </c>
      <c r="I588" s="1">
        <v>45398</v>
      </c>
      <c r="J588">
        <v>68.790000000000006</v>
      </c>
      <c r="K588">
        <v>66.864000000000004</v>
      </c>
      <c r="L588">
        <v>64.772999999999996</v>
      </c>
      <c r="M588">
        <v>47.058999999999997</v>
      </c>
      <c r="N588">
        <v>52.173999999999999</v>
      </c>
      <c r="O588">
        <v>52.173999999999999</v>
      </c>
      <c r="P588">
        <v>47.058999999999997</v>
      </c>
      <c r="Q588">
        <v>52.173999999999999</v>
      </c>
      <c r="R588">
        <v>52.173999999999999</v>
      </c>
      <c r="S588">
        <v>30</v>
      </c>
      <c r="T588">
        <v>8.3330000000000002</v>
      </c>
      <c r="U588">
        <v>0</v>
      </c>
      <c r="V588">
        <f t="shared" si="27"/>
        <v>48.227000000000004</v>
      </c>
      <c r="W588">
        <f t="shared" si="28"/>
        <v>44.886250000000004</v>
      </c>
      <c r="X588">
        <f t="shared" si="29"/>
        <v>42.280250000000002</v>
      </c>
      <c r="Y588">
        <v>13</v>
      </c>
      <c r="Z588" s="2" t="s">
        <v>538</v>
      </c>
    </row>
    <row r="589" spans="1:26" x14ac:dyDescent="0.25">
      <c r="A589">
        <v>1074</v>
      </c>
      <c r="B589">
        <v>672</v>
      </c>
      <c r="C589" t="s">
        <v>22</v>
      </c>
      <c r="D589" t="s">
        <v>536</v>
      </c>
      <c r="E589" t="s">
        <v>30</v>
      </c>
      <c r="F589" t="s">
        <v>558</v>
      </c>
      <c r="G589" t="e">
        <f>VLOOKUP(F589,Hospitals!E:H,4,FALSE)</f>
        <v>#N/A</v>
      </c>
      <c r="H589" s="1">
        <v>45568</v>
      </c>
      <c r="I589" t="s">
        <v>35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f t="shared" si="27"/>
        <v>0</v>
      </c>
      <c r="W589">
        <f t="shared" si="28"/>
        <v>0</v>
      </c>
      <c r="X589">
        <f t="shared" si="29"/>
        <v>0</v>
      </c>
      <c r="Y589">
        <v>13</v>
      </c>
      <c r="Z589" s="2" t="s">
        <v>538</v>
      </c>
    </row>
    <row r="590" spans="1:26" x14ac:dyDescent="0.25">
      <c r="A590">
        <v>509</v>
      </c>
      <c r="B590">
        <v>674</v>
      </c>
      <c r="C590" t="s">
        <v>22</v>
      </c>
      <c r="D590" t="s">
        <v>536</v>
      </c>
      <c r="E590" t="s">
        <v>30</v>
      </c>
      <c r="F590" t="s">
        <v>559</v>
      </c>
      <c r="G590" t="str">
        <f>VLOOKUP(F590,Hospitals!E:H,4,FALSE)</f>
        <v>28.89567 , 76.60906</v>
      </c>
      <c r="H590" s="1">
        <v>45379</v>
      </c>
      <c r="I590" s="1">
        <v>45379</v>
      </c>
      <c r="J590">
        <v>100</v>
      </c>
      <c r="K590">
        <v>99.408000000000001</v>
      </c>
      <c r="L590">
        <v>98.295000000000002</v>
      </c>
      <c r="M590">
        <v>47.058999999999997</v>
      </c>
      <c r="N590">
        <v>60.87</v>
      </c>
      <c r="O590">
        <v>60.87</v>
      </c>
      <c r="P590">
        <v>47.058999999999997</v>
      </c>
      <c r="Q590">
        <v>60.87</v>
      </c>
      <c r="R590">
        <v>60.87</v>
      </c>
      <c r="S590">
        <v>20</v>
      </c>
      <c r="T590">
        <v>16.667000000000002</v>
      </c>
      <c r="U590">
        <v>7.1429999999999998</v>
      </c>
      <c r="V590">
        <f t="shared" si="27"/>
        <v>53.529499999999999</v>
      </c>
      <c r="W590">
        <f t="shared" si="28"/>
        <v>59.453749999999999</v>
      </c>
      <c r="X590">
        <f t="shared" si="29"/>
        <v>56.794499999999999</v>
      </c>
      <c r="Y590">
        <v>13</v>
      </c>
      <c r="Z590" s="2" t="s">
        <v>538</v>
      </c>
    </row>
    <row r="591" spans="1:26" x14ac:dyDescent="0.25">
      <c r="A591">
        <v>511</v>
      </c>
      <c r="B591">
        <v>674</v>
      </c>
      <c r="C591" t="s">
        <v>22</v>
      </c>
      <c r="D591" t="s">
        <v>536</v>
      </c>
      <c r="E591" t="s">
        <v>30</v>
      </c>
      <c r="F591" t="s">
        <v>559</v>
      </c>
      <c r="G591" t="str">
        <f>VLOOKUP(F591,Hospitals!E:H,4,FALSE)</f>
        <v>28.89567 , 76.60906</v>
      </c>
      <c r="H591" s="1">
        <v>45378</v>
      </c>
      <c r="I591" t="s">
        <v>35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f t="shared" si="27"/>
        <v>0</v>
      </c>
      <c r="W591">
        <f t="shared" si="28"/>
        <v>0</v>
      </c>
      <c r="X591">
        <f t="shared" si="29"/>
        <v>0</v>
      </c>
      <c r="Y591">
        <v>13</v>
      </c>
      <c r="Z591" s="2" t="s">
        <v>538</v>
      </c>
    </row>
    <row r="592" spans="1:26" x14ac:dyDescent="0.25">
      <c r="A592">
        <v>566</v>
      </c>
      <c r="B592">
        <v>675</v>
      </c>
      <c r="C592" t="s">
        <v>22</v>
      </c>
      <c r="D592" t="s">
        <v>536</v>
      </c>
      <c r="E592" t="s">
        <v>30</v>
      </c>
      <c r="F592" t="s">
        <v>560</v>
      </c>
      <c r="G592" t="str">
        <f>VLOOKUP(F592,Hospitals!E:H,4,FALSE)</f>
        <v>28.89653 , 76.59967</v>
      </c>
      <c r="H592" s="1">
        <v>45385</v>
      </c>
      <c r="I592" s="1">
        <v>45385</v>
      </c>
      <c r="J592">
        <v>96.814999999999998</v>
      </c>
      <c r="K592">
        <v>96.45</v>
      </c>
      <c r="L592">
        <v>94.885999999999996</v>
      </c>
      <c r="M592">
        <v>88.234999999999999</v>
      </c>
      <c r="N592">
        <v>82.608999999999995</v>
      </c>
      <c r="O592">
        <v>82.608999999999995</v>
      </c>
      <c r="P592">
        <v>88.234999999999999</v>
      </c>
      <c r="Q592">
        <v>82.608999999999995</v>
      </c>
      <c r="R592">
        <v>82.608999999999995</v>
      </c>
      <c r="S592">
        <v>20</v>
      </c>
      <c r="T592">
        <v>25</v>
      </c>
      <c r="U592">
        <v>7.1429999999999998</v>
      </c>
      <c r="V592">
        <f t="shared" si="27"/>
        <v>73.321250000000006</v>
      </c>
      <c r="W592">
        <f t="shared" si="28"/>
        <v>71.667000000000002</v>
      </c>
      <c r="X592">
        <f t="shared" si="29"/>
        <v>66.811749999999989</v>
      </c>
      <c r="Y592">
        <v>13</v>
      </c>
      <c r="Z592" s="2" t="s">
        <v>538</v>
      </c>
    </row>
    <row r="593" spans="1:26" x14ac:dyDescent="0.25">
      <c r="A593">
        <v>508</v>
      </c>
      <c r="B593">
        <v>676</v>
      </c>
      <c r="C593" t="s">
        <v>22</v>
      </c>
      <c r="D593" t="s">
        <v>536</v>
      </c>
      <c r="E593" t="s">
        <v>30</v>
      </c>
      <c r="F593" t="s">
        <v>561</v>
      </c>
      <c r="G593" t="str">
        <f>VLOOKUP(F593,Hospitals!E:H,4,FALSE)</f>
        <v>28.89501 , 76.60371</v>
      </c>
      <c r="H593" s="1">
        <v>45380</v>
      </c>
      <c r="I593" s="1">
        <v>45380</v>
      </c>
      <c r="J593">
        <v>77.706999999999994</v>
      </c>
      <c r="K593">
        <v>76.923000000000002</v>
      </c>
      <c r="L593">
        <v>75.567999999999998</v>
      </c>
      <c r="M593">
        <v>76.471000000000004</v>
      </c>
      <c r="N593">
        <v>73.912999999999997</v>
      </c>
      <c r="O593">
        <v>73.912999999999997</v>
      </c>
      <c r="P593">
        <v>76.471000000000004</v>
      </c>
      <c r="Q593">
        <v>73.912999999999997</v>
      </c>
      <c r="R593">
        <v>73.912999999999997</v>
      </c>
      <c r="S593">
        <v>10</v>
      </c>
      <c r="T593">
        <v>16.667000000000002</v>
      </c>
      <c r="U593">
        <v>14.286</v>
      </c>
      <c r="V593">
        <f t="shared" si="27"/>
        <v>60.16225</v>
      </c>
      <c r="W593">
        <f t="shared" si="28"/>
        <v>60.354000000000006</v>
      </c>
      <c r="X593">
        <f t="shared" si="29"/>
        <v>59.42</v>
      </c>
      <c r="Y593">
        <v>13</v>
      </c>
      <c r="Z593" s="2" t="s">
        <v>538</v>
      </c>
    </row>
    <row r="594" spans="1:26" x14ac:dyDescent="0.25">
      <c r="A594">
        <v>536</v>
      </c>
      <c r="B594">
        <v>678</v>
      </c>
      <c r="C594" t="s">
        <v>22</v>
      </c>
      <c r="D594" t="s">
        <v>536</v>
      </c>
      <c r="E594" t="s">
        <v>30</v>
      </c>
      <c r="F594" t="s">
        <v>562</v>
      </c>
      <c r="G594" t="str">
        <f>VLOOKUP(F594,Hospitals!E:H,4,FALSE)</f>
        <v>30.28297 , 76.71056</v>
      </c>
      <c r="H594" s="1">
        <v>45385</v>
      </c>
      <c r="I594" s="1">
        <v>45385</v>
      </c>
      <c r="J594">
        <v>100</v>
      </c>
      <c r="K594">
        <v>99.408000000000001</v>
      </c>
      <c r="L594">
        <v>99.432000000000002</v>
      </c>
      <c r="M594">
        <v>94.117999999999995</v>
      </c>
      <c r="N594">
        <v>91.304000000000002</v>
      </c>
      <c r="O594">
        <v>91.304000000000002</v>
      </c>
      <c r="P594">
        <v>94.117999999999995</v>
      </c>
      <c r="Q594">
        <v>91.304000000000002</v>
      </c>
      <c r="R594">
        <v>91.304000000000002</v>
      </c>
      <c r="S594">
        <v>70</v>
      </c>
      <c r="T594">
        <v>50</v>
      </c>
      <c r="U594">
        <v>28.571000000000002</v>
      </c>
      <c r="V594">
        <f t="shared" si="27"/>
        <v>89.558999999999997</v>
      </c>
      <c r="W594">
        <f t="shared" si="28"/>
        <v>83.003999999999991</v>
      </c>
      <c r="X594">
        <f t="shared" si="29"/>
        <v>77.652749999999997</v>
      </c>
      <c r="Y594">
        <v>13</v>
      </c>
      <c r="Z594" s="2" t="s">
        <v>538</v>
      </c>
    </row>
    <row r="595" spans="1:26" x14ac:dyDescent="0.25">
      <c r="A595">
        <v>618</v>
      </c>
      <c r="B595">
        <v>679</v>
      </c>
      <c r="C595" t="s">
        <v>22</v>
      </c>
      <c r="D595" t="s">
        <v>536</v>
      </c>
      <c r="E595" t="s">
        <v>30</v>
      </c>
      <c r="F595" t="s">
        <v>563</v>
      </c>
      <c r="G595" t="str">
        <f>VLOOKUP(F595,Hospitals!E:H,4,FALSE)</f>
        <v>28.60974 , 77.30627</v>
      </c>
      <c r="H595" s="1">
        <v>45390</v>
      </c>
      <c r="I595" s="1">
        <v>45390</v>
      </c>
      <c r="J595">
        <v>95.540999999999997</v>
      </c>
      <c r="K595">
        <v>93.491</v>
      </c>
      <c r="L595">
        <v>92.045000000000002</v>
      </c>
      <c r="M595">
        <v>94.117999999999995</v>
      </c>
      <c r="N595">
        <v>91.304000000000002</v>
      </c>
      <c r="O595">
        <v>91.304000000000002</v>
      </c>
      <c r="P595">
        <v>94.117999999999995</v>
      </c>
      <c r="Q595">
        <v>91.304000000000002</v>
      </c>
      <c r="R595">
        <v>91.304000000000002</v>
      </c>
      <c r="S595">
        <v>10</v>
      </c>
      <c r="T595">
        <v>8.3330000000000002</v>
      </c>
      <c r="U595">
        <v>0</v>
      </c>
      <c r="V595">
        <f t="shared" si="27"/>
        <v>73.444249999999997</v>
      </c>
      <c r="W595">
        <f t="shared" si="28"/>
        <v>71.108000000000018</v>
      </c>
      <c r="X595">
        <f t="shared" si="29"/>
        <v>68.663250000000005</v>
      </c>
      <c r="Y595">
        <v>13</v>
      </c>
      <c r="Z595" s="2" t="s">
        <v>538</v>
      </c>
    </row>
    <row r="596" spans="1:26" x14ac:dyDescent="0.25">
      <c r="A596">
        <v>1025</v>
      </c>
      <c r="B596">
        <v>68</v>
      </c>
      <c r="C596" t="s">
        <v>22</v>
      </c>
      <c r="D596" t="s">
        <v>29</v>
      </c>
      <c r="E596" t="s">
        <v>27</v>
      </c>
      <c r="F596" t="s">
        <v>564</v>
      </c>
      <c r="G596" t="e">
        <f>VLOOKUP(F596,Hospitals!E:H,4,FALSE)</f>
        <v>#N/A</v>
      </c>
      <c r="H596" s="1">
        <v>45548</v>
      </c>
      <c r="I596" t="s">
        <v>35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f t="shared" si="27"/>
        <v>0</v>
      </c>
      <c r="W596">
        <f t="shared" si="28"/>
        <v>0</v>
      </c>
      <c r="X596">
        <f t="shared" si="29"/>
        <v>0</v>
      </c>
      <c r="Y596">
        <v>13</v>
      </c>
      <c r="Z596" s="2" t="s">
        <v>31</v>
      </c>
    </row>
    <row r="597" spans="1:26" x14ac:dyDescent="0.25">
      <c r="A597">
        <v>540</v>
      </c>
      <c r="B597">
        <v>684</v>
      </c>
      <c r="C597" t="s">
        <v>22</v>
      </c>
      <c r="D597" t="s">
        <v>508</v>
      </c>
      <c r="E597" t="s">
        <v>24</v>
      </c>
      <c r="F597" t="s">
        <v>565</v>
      </c>
      <c r="G597" t="str">
        <f>VLOOKUP(F597,Hospitals!E:H,4,FALSE)</f>
        <v>28.38561 , 77.252</v>
      </c>
      <c r="H597" s="1">
        <v>45380</v>
      </c>
      <c r="I597" s="1">
        <v>45380</v>
      </c>
      <c r="J597">
        <v>26.751999999999999</v>
      </c>
      <c r="K597">
        <v>26.036000000000001</v>
      </c>
      <c r="L597">
        <v>25</v>
      </c>
      <c r="M597">
        <v>23.529</v>
      </c>
      <c r="N597">
        <v>17.390999999999998</v>
      </c>
      <c r="O597">
        <v>17.390999999999998</v>
      </c>
      <c r="P597">
        <v>23.529</v>
      </c>
      <c r="Q597">
        <v>17.390999999999998</v>
      </c>
      <c r="R597">
        <v>17.390999999999998</v>
      </c>
      <c r="S597">
        <v>0</v>
      </c>
      <c r="T597">
        <v>0</v>
      </c>
      <c r="U597">
        <v>0</v>
      </c>
      <c r="V597">
        <f t="shared" si="27"/>
        <v>18.452500000000001</v>
      </c>
      <c r="W597">
        <f t="shared" si="28"/>
        <v>15.204499999999999</v>
      </c>
      <c r="X597">
        <f t="shared" si="29"/>
        <v>14.945499999999999</v>
      </c>
      <c r="Y597">
        <v>13</v>
      </c>
      <c r="Z597" s="2" t="s">
        <v>510</v>
      </c>
    </row>
    <row r="598" spans="1:26" x14ac:dyDescent="0.25">
      <c r="A598">
        <v>530</v>
      </c>
      <c r="B598">
        <v>685</v>
      </c>
      <c r="C598" t="s">
        <v>22</v>
      </c>
      <c r="D598" t="s">
        <v>508</v>
      </c>
      <c r="E598" t="s">
        <v>24</v>
      </c>
      <c r="F598" t="s">
        <v>566</v>
      </c>
      <c r="G598" t="str">
        <f>VLOOKUP(F598,Hospitals!E:H,4,FALSE)</f>
        <v>28.37457 , 77.38483</v>
      </c>
      <c r="H598" s="1">
        <v>45379</v>
      </c>
      <c r="I598" s="1">
        <v>45379</v>
      </c>
      <c r="J598">
        <v>54.777000000000001</v>
      </c>
      <c r="K598">
        <v>52.662999999999997</v>
      </c>
      <c r="L598">
        <v>50.567999999999998</v>
      </c>
      <c r="M598">
        <v>82.352999999999994</v>
      </c>
      <c r="N598">
        <v>65.216999999999999</v>
      </c>
      <c r="O598">
        <v>65.216999999999999</v>
      </c>
      <c r="P598">
        <v>82.352999999999994</v>
      </c>
      <c r="Q598">
        <v>65.216999999999999</v>
      </c>
      <c r="R598">
        <v>65.216999999999999</v>
      </c>
      <c r="S598">
        <v>0</v>
      </c>
      <c r="T598">
        <v>0</v>
      </c>
      <c r="U598">
        <v>0</v>
      </c>
      <c r="V598">
        <f t="shared" si="27"/>
        <v>54.870750000000001</v>
      </c>
      <c r="W598">
        <f t="shared" si="28"/>
        <v>45.774249999999995</v>
      </c>
      <c r="X598">
        <f t="shared" si="29"/>
        <v>45.250500000000002</v>
      </c>
      <c r="Y598">
        <v>13</v>
      </c>
      <c r="Z598" s="2" t="s">
        <v>510</v>
      </c>
    </row>
    <row r="599" spans="1:26" x14ac:dyDescent="0.25">
      <c r="A599">
        <v>532</v>
      </c>
      <c r="B599">
        <v>686</v>
      </c>
      <c r="C599" t="s">
        <v>22</v>
      </c>
      <c r="D599" t="s">
        <v>508</v>
      </c>
      <c r="E599" t="s">
        <v>24</v>
      </c>
      <c r="F599" t="s">
        <v>567</v>
      </c>
      <c r="G599" t="str">
        <f>VLOOKUP(F599,Hospitals!E:H,4,FALSE)</f>
        <v>28.40893 , 77.37333</v>
      </c>
      <c r="H599" s="1">
        <v>45379</v>
      </c>
      <c r="I599" s="1">
        <v>45379</v>
      </c>
      <c r="J599">
        <v>37.58</v>
      </c>
      <c r="K599">
        <v>34.911000000000001</v>
      </c>
      <c r="L599">
        <v>33.523000000000003</v>
      </c>
      <c r="M599">
        <v>52.941000000000003</v>
      </c>
      <c r="N599">
        <v>39.130000000000003</v>
      </c>
      <c r="O599">
        <v>39.130000000000003</v>
      </c>
      <c r="P599">
        <v>52.941000000000003</v>
      </c>
      <c r="Q599">
        <v>39.130000000000003</v>
      </c>
      <c r="R599">
        <v>39.130000000000003</v>
      </c>
      <c r="S599">
        <v>10</v>
      </c>
      <c r="T599">
        <v>8.3330000000000002</v>
      </c>
      <c r="U599">
        <v>0</v>
      </c>
      <c r="V599">
        <f t="shared" si="27"/>
        <v>38.365499999999997</v>
      </c>
      <c r="W599">
        <f t="shared" si="28"/>
        <v>30.375999999999998</v>
      </c>
      <c r="X599">
        <f t="shared" si="29"/>
        <v>27.945750000000004</v>
      </c>
      <c r="Y599">
        <v>13</v>
      </c>
      <c r="Z599" s="2" t="s">
        <v>510</v>
      </c>
    </row>
    <row r="600" spans="1:26" x14ac:dyDescent="0.25">
      <c r="A600">
        <v>401</v>
      </c>
      <c r="B600">
        <v>686</v>
      </c>
      <c r="C600" t="s">
        <v>22</v>
      </c>
      <c r="D600" t="s">
        <v>508</v>
      </c>
      <c r="E600" t="s">
        <v>24</v>
      </c>
      <c r="F600" t="s">
        <v>567</v>
      </c>
      <c r="G600" t="str">
        <f>VLOOKUP(F600,Hospitals!E:H,4,FALSE)</f>
        <v>28.40893 , 77.37333</v>
      </c>
      <c r="H600" s="1">
        <v>45372</v>
      </c>
      <c r="I600" s="1">
        <v>45379</v>
      </c>
      <c r="J600">
        <v>37.58</v>
      </c>
      <c r="K600">
        <v>34.911000000000001</v>
      </c>
      <c r="L600">
        <v>33.523000000000003</v>
      </c>
      <c r="M600">
        <v>52.941000000000003</v>
      </c>
      <c r="N600">
        <v>39.130000000000003</v>
      </c>
      <c r="O600">
        <v>39.130000000000003</v>
      </c>
      <c r="P600">
        <v>52.941000000000003</v>
      </c>
      <c r="Q600">
        <v>39.130000000000003</v>
      </c>
      <c r="R600">
        <v>39.130000000000003</v>
      </c>
      <c r="S600">
        <v>10</v>
      </c>
      <c r="T600">
        <v>8.3330000000000002</v>
      </c>
      <c r="U600">
        <v>0</v>
      </c>
      <c r="V600">
        <f t="shared" si="27"/>
        <v>38.365499999999997</v>
      </c>
      <c r="W600">
        <f t="shared" si="28"/>
        <v>30.375999999999998</v>
      </c>
      <c r="X600">
        <f t="shared" si="29"/>
        <v>27.945750000000004</v>
      </c>
      <c r="Y600">
        <v>13</v>
      </c>
      <c r="Z600" s="2" t="s">
        <v>510</v>
      </c>
    </row>
    <row r="601" spans="1:26" x14ac:dyDescent="0.25">
      <c r="A601">
        <v>469</v>
      </c>
      <c r="B601">
        <v>687</v>
      </c>
      <c r="C601" t="s">
        <v>22</v>
      </c>
      <c r="D601" t="s">
        <v>508</v>
      </c>
      <c r="E601" t="s">
        <v>24</v>
      </c>
      <c r="F601" t="s">
        <v>568</v>
      </c>
      <c r="G601" t="str">
        <f>VLOOKUP(F601,Hospitals!E:H,4,FALSE)</f>
        <v>28.39347 , 77.43078</v>
      </c>
      <c r="H601" s="1">
        <v>45377</v>
      </c>
      <c r="I601" s="1">
        <v>45377</v>
      </c>
      <c r="J601">
        <v>47.134</v>
      </c>
      <c r="K601">
        <v>43.786999999999999</v>
      </c>
      <c r="L601">
        <v>42.045000000000002</v>
      </c>
      <c r="M601">
        <v>58.823999999999998</v>
      </c>
      <c r="N601">
        <v>43.478000000000002</v>
      </c>
      <c r="O601">
        <v>43.478000000000002</v>
      </c>
      <c r="P601">
        <v>58.823999999999998</v>
      </c>
      <c r="Q601">
        <v>43.478000000000002</v>
      </c>
      <c r="R601">
        <v>43.478000000000002</v>
      </c>
      <c r="S601">
        <v>0</v>
      </c>
      <c r="T601">
        <v>0</v>
      </c>
      <c r="U601">
        <v>0</v>
      </c>
      <c r="V601">
        <f t="shared" si="27"/>
        <v>41.195499999999996</v>
      </c>
      <c r="W601">
        <f t="shared" si="28"/>
        <v>32.685749999999999</v>
      </c>
      <c r="X601">
        <f t="shared" si="29"/>
        <v>32.250250000000001</v>
      </c>
      <c r="Y601">
        <v>13</v>
      </c>
      <c r="Z601" s="2" t="s">
        <v>510</v>
      </c>
    </row>
    <row r="602" spans="1:26" x14ac:dyDescent="0.25">
      <c r="A602">
        <v>453</v>
      </c>
      <c r="B602">
        <v>688</v>
      </c>
      <c r="C602" t="s">
        <v>22</v>
      </c>
      <c r="D602" t="s">
        <v>508</v>
      </c>
      <c r="E602" t="s">
        <v>62</v>
      </c>
      <c r="F602" t="s">
        <v>569</v>
      </c>
      <c r="G602" t="str">
        <f>VLOOKUP(F602,Hospitals!E:H,4,FALSE)</f>
        <v>28.39261 , 77.29825</v>
      </c>
      <c r="H602" s="1">
        <v>45379</v>
      </c>
      <c r="I602" s="1">
        <v>45379</v>
      </c>
      <c r="J602">
        <v>80.254999999999995</v>
      </c>
      <c r="K602">
        <v>79.882000000000005</v>
      </c>
      <c r="L602">
        <v>78.977000000000004</v>
      </c>
      <c r="M602">
        <v>82.352999999999994</v>
      </c>
      <c r="N602">
        <v>86.956999999999994</v>
      </c>
      <c r="O602">
        <v>86.956999999999994</v>
      </c>
      <c r="P602">
        <v>82.352999999999994</v>
      </c>
      <c r="Q602">
        <v>86.956999999999994</v>
      </c>
      <c r="R602">
        <v>86.956999999999994</v>
      </c>
      <c r="S602">
        <v>40</v>
      </c>
      <c r="T602">
        <v>16.667000000000002</v>
      </c>
      <c r="U602">
        <v>0</v>
      </c>
      <c r="V602">
        <f t="shared" si="27"/>
        <v>71.240250000000003</v>
      </c>
      <c r="W602">
        <f t="shared" si="28"/>
        <v>67.615749999999991</v>
      </c>
      <c r="X602">
        <f t="shared" si="29"/>
        <v>63.222749999999998</v>
      </c>
      <c r="Y602">
        <v>13</v>
      </c>
      <c r="Z602" s="2" t="s">
        <v>510</v>
      </c>
    </row>
    <row r="603" spans="1:26" x14ac:dyDescent="0.25">
      <c r="A603">
        <v>506</v>
      </c>
      <c r="B603">
        <v>689</v>
      </c>
      <c r="C603" t="s">
        <v>22</v>
      </c>
      <c r="D603" t="s">
        <v>508</v>
      </c>
      <c r="E603" t="s">
        <v>27</v>
      </c>
      <c r="F603" t="s">
        <v>570</v>
      </c>
      <c r="G603" t="str">
        <f>VLOOKUP(F603,Hospitals!E:H,4,FALSE)</f>
        <v>28.29194 , 77.35541</v>
      </c>
      <c r="H603" s="1">
        <v>45379</v>
      </c>
      <c r="I603" s="1">
        <v>45379</v>
      </c>
      <c r="J603">
        <v>33.758000000000003</v>
      </c>
      <c r="K603">
        <v>31.361000000000001</v>
      </c>
      <c r="L603">
        <v>30.114000000000001</v>
      </c>
      <c r="M603">
        <v>11.765000000000001</v>
      </c>
      <c r="N603">
        <v>8.6959999999999997</v>
      </c>
      <c r="O603">
        <v>8.6959999999999997</v>
      </c>
      <c r="P603">
        <v>11.765000000000001</v>
      </c>
      <c r="Q603">
        <v>8.6959999999999997</v>
      </c>
      <c r="R603">
        <v>8.6959999999999997</v>
      </c>
      <c r="S603">
        <v>0</v>
      </c>
      <c r="T603">
        <v>0</v>
      </c>
      <c r="U603">
        <v>0</v>
      </c>
      <c r="V603">
        <f t="shared" si="27"/>
        <v>14.322000000000001</v>
      </c>
      <c r="W603">
        <f t="shared" si="28"/>
        <v>12.18825</v>
      </c>
      <c r="X603">
        <f t="shared" si="29"/>
        <v>11.8765</v>
      </c>
      <c r="Y603">
        <v>13</v>
      </c>
      <c r="Z603" s="2" t="s">
        <v>510</v>
      </c>
    </row>
    <row r="604" spans="1:26" x14ac:dyDescent="0.25">
      <c r="A604">
        <v>1121</v>
      </c>
      <c r="B604">
        <v>69</v>
      </c>
      <c r="C604" t="s">
        <v>22</v>
      </c>
      <c r="D604" t="s">
        <v>29</v>
      </c>
      <c r="E604" t="s">
        <v>27</v>
      </c>
      <c r="F604" t="s">
        <v>571</v>
      </c>
      <c r="G604" t="str">
        <f>VLOOKUP(F604,Hospitals!E:H,4,FALSE)</f>
        <v>28.43935 , 76.99497</v>
      </c>
      <c r="H604" s="1">
        <v>45678</v>
      </c>
      <c r="I604" s="1">
        <v>45678</v>
      </c>
      <c r="J604">
        <v>56.688000000000002</v>
      </c>
      <c r="K604">
        <v>52.662999999999997</v>
      </c>
      <c r="L604">
        <v>50.567999999999998</v>
      </c>
      <c r="M604">
        <v>52.941000000000003</v>
      </c>
      <c r="N604">
        <v>39.130000000000003</v>
      </c>
      <c r="O604">
        <v>39.130000000000003</v>
      </c>
      <c r="P604">
        <v>52.941000000000003</v>
      </c>
      <c r="Q604">
        <v>39.130000000000003</v>
      </c>
      <c r="R604">
        <v>39.130000000000003</v>
      </c>
      <c r="S604">
        <v>0</v>
      </c>
      <c r="T604">
        <v>0</v>
      </c>
      <c r="U604">
        <v>0</v>
      </c>
      <c r="V604">
        <f t="shared" si="27"/>
        <v>40.642499999999998</v>
      </c>
      <c r="W604">
        <f t="shared" si="28"/>
        <v>32.73075</v>
      </c>
      <c r="X604">
        <f t="shared" si="29"/>
        <v>32.207000000000001</v>
      </c>
      <c r="Y604">
        <v>13</v>
      </c>
      <c r="Z604" s="2" t="s">
        <v>31</v>
      </c>
    </row>
    <row r="605" spans="1:26" x14ac:dyDescent="0.25">
      <c r="A605">
        <v>459</v>
      </c>
      <c r="B605">
        <v>690</v>
      </c>
      <c r="C605" t="s">
        <v>22</v>
      </c>
      <c r="D605" t="s">
        <v>508</v>
      </c>
      <c r="E605" t="s">
        <v>27</v>
      </c>
      <c r="F605" t="s">
        <v>572</v>
      </c>
      <c r="G605" t="str">
        <f>VLOOKUP(F605,Hospitals!E:H,4,FALSE)</f>
        <v>28.29194 , 77.35541</v>
      </c>
      <c r="H605" s="1">
        <v>45379</v>
      </c>
      <c r="I605" s="1">
        <v>45379</v>
      </c>
      <c r="J605">
        <v>3.1850000000000001</v>
      </c>
      <c r="K605">
        <v>2.9590000000000001</v>
      </c>
      <c r="L605">
        <v>2.8410000000000002</v>
      </c>
      <c r="M605">
        <v>52.941000000000003</v>
      </c>
      <c r="N605">
        <v>39.130000000000003</v>
      </c>
      <c r="O605">
        <v>39.130000000000003</v>
      </c>
      <c r="P605">
        <v>52.941000000000003</v>
      </c>
      <c r="Q605">
        <v>39.130000000000003</v>
      </c>
      <c r="R605">
        <v>39.130000000000003</v>
      </c>
      <c r="S605">
        <v>0</v>
      </c>
      <c r="T605">
        <v>0</v>
      </c>
      <c r="U605">
        <v>0</v>
      </c>
      <c r="V605">
        <f t="shared" si="27"/>
        <v>27.266750000000002</v>
      </c>
      <c r="W605">
        <f t="shared" si="28"/>
        <v>20.304750000000002</v>
      </c>
      <c r="X605">
        <f t="shared" si="29"/>
        <v>20.27525</v>
      </c>
      <c r="Y605">
        <v>13</v>
      </c>
      <c r="Z605" s="2" t="s">
        <v>510</v>
      </c>
    </row>
    <row r="606" spans="1:26" x14ac:dyDescent="0.25">
      <c r="A606">
        <v>522</v>
      </c>
      <c r="B606">
        <v>691</v>
      </c>
      <c r="C606" t="s">
        <v>22</v>
      </c>
      <c r="D606" t="s">
        <v>508</v>
      </c>
      <c r="E606" t="s">
        <v>27</v>
      </c>
      <c r="F606" t="s">
        <v>573</v>
      </c>
      <c r="G606" t="str">
        <f>VLOOKUP(F606,Hospitals!E:H,4,FALSE)</f>
        <v>28.40893 , 77.37332</v>
      </c>
      <c r="H606" s="1">
        <v>45381</v>
      </c>
      <c r="I606" s="1">
        <v>45381</v>
      </c>
      <c r="J606">
        <v>25.478000000000002</v>
      </c>
      <c r="K606">
        <v>23.669</v>
      </c>
      <c r="L606">
        <v>22.727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f t="shared" si="27"/>
        <v>6.3695000000000004</v>
      </c>
      <c r="W606">
        <f t="shared" si="28"/>
        <v>5.9172500000000001</v>
      </c>
      <c r="X606">
        <f t="shared" si="29"/>
        <v>5.6817500000000001</v>
      </c>
      <c r="Y606">
        <v>13</v>
      </c>
      <c r="Z606" s="2" t="s">
        <v>510</v>
      </c>
    </row>
    <row r="607" spans="1:26" x14ac:dyDescent="0.25">
      <c r="A607">
        <v>443</v>
      </c>
      <c r="B607">
        <v>692</v>
      </c>
      <c r="C607" t="s">
        <v>22</v>
      </c>
      <c r="D607" t="s">
        <v>508</v>
      </c>
      <c r="E607" t="s">
        <v>27</v>
      </c>
      <c r="F607" t="s">
        <v>574</v>
      </c>
      <c r="G607" t="str">
        <f>VLOOKUP(F607,Hospitals!E:H,4,FALSE)</f>
        <v>28.33449 , 77.3292</v>
      </c>
      <c r="H607" s="1">
        <v>45373</v>
      </c>
      <c r="I607" s="1">
        <v>45373</v>
      </c>
      <c r="J607">
        <v>21.655999999999999</v>
      </c>
      <c r="K607">
        <v>20.117999999999999</v>
      </c>
      <c r="L607">
        <v>19.318000000000001</v>
      </c>
      <c r="M607">
        <v>17.646999999999998</v>
      </c>
      <c r="N607">
        <v>13.042999999999999</v>
      </c>
      <c r="O607">
        <v>13.042999999999999</v>
      </c>
      <c r="P607">
        <v>17.646999999999998</v>
      </c>
      <c r="Q607">
        <v>13.042999999999999</v>
      </c>
      <c r="R607">
        <v>13.042999999999999</v>
      </c>
      <c r="S607">
        <v>0</v>
      </c>
      <c r="T607">
        <v>0</v>
      </c>
      <c r="U607">
        <v>0</v>
      </c>
      <c r="V607">
        <f t="shared" si="27"/>
        <v>14.237499999999999</v>
      </c>
      <c r="W607">
        <f t="shared" si="28"/>
        <v>11.551</v>
      </c>
      <c r="X607">
        <f t="shared" si="29"/>
        <v>11.351000000000001</v>
      </c>
      <c r="Y607">
        <v>13</v>
      </c>
      <c r="Z607" s="2" t="s">
        <v>510</v>
      </c>
    </row>
    <row r="608" spans="1:26" x14ac:dyDescent="0.25">
      <c r="A608">
        <v>448</v>
      </c>
      <c r="B608">
        <v>693</v>
      </c>
      <c r="C608" t="s">
        <v>22</v>
      </c>
      <c r="D608" t="s">
        <v>508</v>
      </c>
      <c r="E608" t="s">
        <v>27</v>
      </c>
      <c r="F608" t="s">
        <v>575</v>
      </c>
      <c r="G608" t="str">
        <f>VLOOKUP(F608,Hospitals!E:H,4,FALSE)</f>
        <v>28.2772 , 77.32094</v>
      </c>
      <c r="H608" s="1">
        <v>45377</v>
      </c>
      <c r="I608" s="1">
        <v>45377</v>
      </c>
      <c r="J608">
        <v>49.682000000000002</v>
      </c>
      <c r="K608">
        <v>47.337000000000003</v>
      </c>
      <c r="L608">
        <v>45.454999999999998</v>
      </c>
      <c r="M608">
        <v>47.058999999999997</v>
      </c>
      <c r="N608">
        <v>34.783000000000001</v>
      </c>
      <c r="O608">
        <v>34.783000000000001</v>
      </c>
      <c r="P608">
        <v>47.058999999999997</v>
      </c>
      <c r="Q608">
        <v>34.783000000000001</v>
      </c>
      <c r="R608">
        <v>34.783000000000001</v>
      </c>
      <c r="S608">
        <v>10</v>
      </c>
      <c r="T608">
        <v>8.3330000000000002</v>
      </c>
      <c r="U608">
        <v>0</v>
      </c>
      <c r="V608">
        <f t="shared" si="27"/>
        <v>38.450000000000003</v>
      </c>
      <c r="W608">
        <f t="shared" si="28"/>
        <v>31.309000000000001</v>
      </c>
      <c r="X608">
        <f t="shared" si="29"/>
        <v>28.75525</v>
      </c>
      <c r="Y608">
        <v>13</v>
      </c>
      <c r="Z608" s="2" t="s">
        <v>510</v>
      </c>
    </row>
    <row r="609" spans="1:26" x14ac:dyDescent="0.25">
      <c r="A609">
        <v>437</v>
      </c>
      <c r="B609">
        <v>694</v>
      </c>
      <c r="C609" t="s">
        <v>22</v>
      </c>
      <c r="D609" t="s">
        <v>508</v>
      </c>
      <c r="E609" t="s">
        <v>27</v>
      </c>
      <c r="F609" t="s">
        <v>576</v>
      </c>
      <c r="G609" t="str">
        <f>VLOOKUP(F609,Hospitals!E:H,4,FALSE)</f>
        <v>28.26443 , 77.39979</v>
      </c>
      <c r="H609" s="1">
        <v>45373</v>
      </c>
      <c r="I609" s="1">
        <v>45373</v>
      </c>
      <c r="J609">
        <v>22.292999999999999</v>
      </c>
      <c r="K609">
        <v>20.71</v>
      </c>
      <c r="L609">
        <v>19.885999999999999</v>
      </c>
      <c r="M609">
        <v>17.646999999999998</v>
      </c>
      <c r="N609">
        <v>13.042999999999999</v>
      </c>
      <c r="O609">
        <v>13.042999999999999</v>
      </c>
      <c r="P609">
        <v>17.646999999999998</v>
      </c>
      <c r="Q609">
        <v>13.042999999999999</v>
      </c>
      <c r="R609">
        <v>13.042999999999999</v>
      </c>
      <c r="S609">
        <v>0</v>
      </c>
      <c r="T609">
        <v>0</v>
      </c>
      <c r="U609">
        <v>0</v>
      </c>
      <c r="V609">
        <f t="shared" si="27"/>
        <v>14.396749999999999</v>
      </c>
      <c r="W609">
        <f t="shared" si="28"/>
        <v>11.699</v>
      </c>
      <c r="X609">
        <f t="shared" si="29"/>
        <v>11.493</v>
      </c>
      <c r="Y609">
        <v>13</v>
      </c>
      <c r="Z609" s="2" t="s">
        <v>510</v>
      </c>
    </row>
    <row r="610" spans="1:26" x14ac:dyDescent="0.25">
      <c r="A610">
        <v>439</v>
      </c>
      <c r="B610">
        <v>695</v>
      </c>
      <c r="C610" t="s">
        <v>22</v>
      </c>
      <c r="D610" t="s">
        <v>508</v>
      </c>
      <c r="E610" t="s">
        <v>27</v>
      </c>
      <c r="F610" t="s">
        <v>577</v>
      </c>
      <c r="G610" t="str">
        <f>VLOOKUP(F610,Hospitals!E:H,4,FALSE)</f>
        <v>28.32432 , 77.35084</v>
      </c>
      <c r="H610" s="1">
        <v>45373</v>
      </c>
      <c r="I610" s="1">
        <v>45373</v>
      </c>
      <c r="J610">
        <v>19.108000000000001</v>
      </c>
      <c r="K610">
        <v>17.751000000000001</v>
      </c>
      <c r="L610">
        <v>17.045000000000002</v>
      </c>
      <c r="M610">
        <v>23.529</v>
      </c>
      <c r="N610">
        <v>17.390999999999998</v>
      </c>
      <c r="O610">
        <v>17.390999999999998</v>
      </c>
      <c r="P610">
        <v>23.529</v>
      </c>
      <c r="Q610">
        <v>17.390999999999998</v>
      </c>
      <c r="R610">
        <v>17.390999999999998</v>
      </c>
      <c r="S610">
        <v>0</v>
      </c>
      <c r="T610">
        <v>0</v>
      </c>
      <c r="U610">
        <v>0</v>
      </c>
      <c r="V610">
        <f t="shared" si="27"/>
        <v>16.541499999999999</v>
      </c>
      <c r="W610">
        <f t="shared" si="28"/>
        <v>13.133249999999999</v>
      </c>
      <c r="X610">
        <f t="shared" si="29"/>
        <v>12.95675</v>
      </c>
      <c r="Y610">
        <v>13</v>
      </c>
      <c r="Z610" s="2" t="s">
        <v>510</v>
      </c>
    </row>
    <row r="611" spans="1:26" x14ac:dyDescent="0.25">
      <c r="A611">
        <v>528</v>
      </c>
      <c r="B611">
        <v>696</v>
      </c>
      <c r="C611" t="s">
        <v>22</v>
      </c>
      <c r="D611" t="s">
        <v>508</v>
      </c>
      <c r="E611" t="s">
        <v>27</v>
      </c>
      <c r="F611" t="s">
        <v>578</v>
      </c>
      <c r="G611" t="str">
        <f>VLOOKUP(F611,Hospitals!E:H,4,FALSE)</f>
        <v>28.46349 , 77.26472</v>
      </c>
      <c r="H611" s="1">
        <v>45383</v>
      </c>
      <c r="I611" s="1">
        <v>45383</v>
      </c>
      <c r="J611">
        <v>29.298999999999999</v>
      </c>
      <c r="K611">
        <v>27.811</v>
      </c>
      <c r="L611">
        <v>26.704999999999998</v>
      </c>
      <c r="M611">
        <v>11.765000000000001</v>
      </c>
      <c r="N611">
        <v>8.6959999999999997</v>
      </c>
      <c r="O611">
        <v>8.6959999999999997</v>
      </c>
      <c r="P611">
        <v>11.765000000000001</v>
      </c>
      <c r="Q611">
        <v>8.6959999999999997</v>
      </c>
      <c r="R611">
        <v>8.6959999999999997</v>
      </c>
      <c r="S611">
        <v>0</v>
      </c>
      <c r="T611">
        <v>0</v>
      </c>
      <c r="U611">
        <v>0</v>
      </c>
      <c r="V611">
        <f t="shared" si="27"/>
        <v>13.20725</v>
      </c>
      <c r="W611">
        <f t="shared" si="28"/>
        <v>11.300749999999999</v>
      </c>
      <c r="X611">
        <f t="shared" si="29"/>
        <v>11.024249999999999</v>
      </c>
      <c r="Y611">
        <v>13</v>
      </c>
      <c r="Z611" s="2" t="s">
        <v>510</v>
      </c>
    </row>
    <row r="612" spans="1:26" x14ac:dyDescent="0.25">
      <c r="A612">
        <v>524</v>
      </c>
      <c r="B612">
        <v>697</v>
      </c>
      <c r="C612" t="s">
        <v>22</v>
      </c>
      <c r="D612" t="s">
        <v>508</v>
      </c>
      <c r="E612" t="s">
        <v>30</v>
      </c>
      <c r="F612" t="s">
        <v>579</v>
      </c>
      <c r="G612" t="str">
        <f>VLOOKUP(F612,Hospitals!E:H,4,FALSE)</f>
        <v>28.4859 , 77.2999</v>
      </c>
      <c r="H612" s="1">
        <v>45379</v>
      </c>
      <c r="I612" s="1">
        <v>45379</v>
      </c>
      <c r="J612">
        <v>99.363</v>
      </c>
      <c r="K612">
        <v>99.408000000000001</v>
      </c>
      <c r="L612">
        <v>98.864000000000004</v>
      </c>
      <c r="M612">
        <v>100</v>
      </c>
      <c r="N612">
        <v>100</v>
      </c>
      <c r="O612">
        <v>100</v>
      </c>
      <c r="P612">
        <v>100</v>
      </c>
      <c r="Q612">
        <v>100</v>
      </c>
      <c r="R612">
        <v>100</v>
      </c>
      <c r="S612">
        <v>60</v>
      </c>
      <c r="T612">
        <v>41.667000000000002</v>
      </c>
      <c r="U612">
        <v>28.571000000000002</v>
      </c>
      <c r="V612">
        <f t="shared" si="27"/>
        <v>89.84075</v>
      </c>
      <c r="W612">
        <f t="shared" si="28"/>
        <v>85.268750000000011</v>
      </c>
      <c r="X612">
        <f t="shared" si="29"/>
        <v>81.858750000000015</v>
      </c>
      <c r="Y612">
        <v>13</v>
      </c>
      <c r="Z612" s="2" t="s">
        <v>510</v>
      </c>
    </row>
    <row r="613" spans="1:26" x14ac:dyDescent="0.25">
      <c r="A613">
        <v>507</v>
      </c>
      <c r="B613">
        <v>698</v>
      </c>
      <c r="C613" t="s">
        <v>22</v>
      </c>
      <c r="D613" t="s">
        <v>508</v>
      </c>
      <c r="E613" t="s">
        <v>30</v>
      </c>
      <c r="F613" t="s">
        <v>580</v>
      </c>
      <c r="G613" t="str">
        <f>VLOOKUP(F613,Hospitals!E:H,4,FALSE)</f>
        <v>28.61302 , 77.2309</v>
      </c>
      <c r="H613" s="1">
        <v>45380</v>
      </c>
      <c r="I613" s="1">
        <v>45380</v>
      </c>
      <c r="J613">
        <v>98.725999999999999</v>
      </c>
      <c r="K613">
        <v>98.816999999999993</v>
      </c>
      <c r="L613">
        <v>98.864000000000004</v>
      </c>
      <c r="M613">
        <v>100</v>
      </c>
      <c r="N613">
        <v>100</v>
      </c>
      <c r="O613">
        <v>100</v>
      </c>
      <c r="P613">
        <v>100</v>
      </c>
      <c r="Q613">
        <v>100</v>
      </c>
      <c r="R613">
        <v>100</v>
      </c>
      <c r="S613">
        <v>70</v>
      </c>
      <c r="T613">
        <v>58.332999999999998</v>
      </c>
      <c r="U613">
        <v>57.143000000000001</v>
      </c>
      <c r="V613">
        <f t="shared" si="27"/>
        <v>92.1815</v>
      </c>
      <c r="W613">
        <f t="shared" si="28"/>
        <v>89.287499999999994</v>
      </c>
      <c r="X613">
        <f t="shared" si="29"/>
        <v>89.001750000000015</v>
      </c>
      <c r="Y613">
        <v>13</v>
      </c>
      <c r="Z613" s="2" t="s">
        <v>510</v>
      </c>
    </row>
    <row r="614" spans="1:26" x14ac:dyDescent="0.25">
      <c r="A614">
        <v>430</v>
      </c>
      <c r="B614">
        <v>699</v>
      </c>
      <c r="C614" t="s">
        <v>22</v>
      </c>
      <c r="D614" t="s">
        <v>508</v>
      </c>
      <c r="E614" t="s">
        <v>30</v>
      </c>
      <c r="F614" t="s">
        <v>581</v>
      </c>
      <c r="G614" t="str">
        <f>VLOOKUP(F614,Hospitals!E:H,4,FALSE)</f>
        <v>28.45901 , 77.0474</v>
      </c>
      <c r="H614" s="1">
        <v>45379</v>
      </c>
      <c r="I614" s="1">
        <v>45379</v>
      </c>
      <c r="J614">
        <v>71.337999999999994</v>
      </c>
      <c r="K614">
        <v>69.230999999999995</v>
      </c>
      <c r="L614">
        <v>67.045000000000002</v>
      </c>
      <c r="M614">
        <v>23.529</v>
      </c>
      <c r="N614">
        <v>26.087</v>
      </c>
      <c r="O614">
        <v>26.087</v>
      </c>
      <c r="P614">
        <v>23.529</v>
      </c>
      <c r="Q614">
        <v>26.087</v>
      </c>
      <c r="R614">
        <v>26.087</v>
      </c>
      <c r="S614">
        <v>20</v>
      </c>
      <c r="T614">
        <v>25</v>
      </c>
      <c r="U614">
        <v>7.1429999999999998</v>
      </c>
      <c r="V614">
        <f t="shared" si="27"/>
        <v>34.598999999999997</v>
      </c>
      <c r="W614">
        <f t="shared" si="28"/>
        <v>36.60125</v>
      </c>
      <c r="X614">
        <f t="shared" si="29"/>
        <v>31.590500000000002</v>
      </c>
      <c r="Y614">
        <v>13</v>
      </c>
      <c r="Z614" s="2" t="s">
        <v>510</v>
      </c>
    </row>
    <row r="615" spans="1:26" x14ac:dyDescent="0.25">
      <c r="A615">
        <v>1148</v>
      </c>
      <c r="B615">
        <v>70</v>
      </c>
      <c r="C615" t="s">
        <v>22</v>
      </c>
      <c r="D615" t="s">
        <v>29</v>
      </c>
      <c r="E615" t="s">
        <v>27</v>
      </c>
      <c r="F615" t="s">
        <v>582</v>
      </c>
      <c r="G615" t="e">
        <f>VLOOKUP(F615,Hospitals!E:H,4,FALSE)</f>
        <v>#N/A</v>
      </c>
      <c r="H615" s="1">
        <v>45678</v>
      </c>
      <c r="I615" t="s">
        <v>35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f t="shared" si="27"/>
        <v>0</v>
      </c>
      <c r="W615">
        <f t="shared" si="28"/>
        <v>0</v>
      </c>
      <c r="X615">
        <f t="shared" si="29"/>
        <v>0</v>
      </c>
      <c r="Y615">
        <v>13</v>
      </c>
      <c r="Z615" s="2" t="s">
        <v>31</v>
      </c>
    </row>
    <row r="616" spans="1:26" x14ac:dyDescent="0.25">
      <c r="A616">
        <v>525</v>
      </c>
      <c r="B616">
        <v>700</v>
      </c>
      <c r="C616" t="s">
        <v>22</v>
      </c>
      <c r="D616" t="s">
        <v>508</v>
      </c>
      <c r="E616" t="s">
        <v>30</v>
      </c>
      <c r="F616" t="s">
        <v>583</v>
      </c>
      <c r="G616" t="str">
        <f>VLOOKUP(F616,Hospitals!E:H,4,FALSE)</f>
        <v>28.415 , 77.36743</v>
      </c>
      <c r="H616" s="1">
        <v>45379</v>
      </c>
      <c r="I616" s="1">
        <v>45379</v>
      </c>
      <c r="J616">
        <v>82.802999999999997</v>
      </c>
      <c r="K616">
        <v>80.472999999999999</v>
      </c>
      <c r="L616">
        <v>77.272999999999996</v>
      </c>
      <c r="M616">
        <v>41.176000000000002</v>
      </c>
      <c r="N616">
        <v>39.130000000000003</v>
      </c>
      <c r="O616">
        <v>39.130000000000003</v>
      </c>
      <c r="P616">
        <v>41.176000000000002</v>
      </c>
      <c r="Q616">
        <v>39.130000000000003</v>
      </c>
      <c r="R616">
        <v>39.130000000000003</v>
      </c>
      <c r="S616">
        <v>20</v>
      </c>
      <c r="T616">
        <v>8.3330000000000002</v>
      </c>
      <c r="U616">
        <v>0</v>
      </c>
      <c r="V616">
        <f t="shared" si="27"/>
        <v>46.28875</v>
      </c>
      <c r="W616">
        <f t="shared" si="28"/>
        <v>41.766500000000001</v>
      </c>
      <c r="X616">
        <f t="shared" si="29"/>
        <v>38.883249999999997</v>
      </c>
      <c r="Y616">
        <v>13</v>
      </c>
      <c r="Z616" s="2" t="s">
        <v>510</v>
      </c>
    </row>
    <row r="617" spans="1:26" x14ac:dyDescent="0.25">
      <c r="A617">
        <v>445</v>
      </c>
      <c r="B617">
        <v>701</v>
      </c>
      <c r="C617" t="s">
        <v>22</v>
      </c>
      <c r="D617" t="s">
        <v>508</v>
      </c>
      <c r="E617" t="s">
        <v>30</v>
      </c>
      <c r="F617" t="s">
        <v>584</v>
      </c>
      <c r="G617" t="str">
        <f>VLOOKUP(F617,Hospitals!E:H,4,FALSE)</f>
        <v>28.38984 , 77.3432</v>
      </c>
      <c r="H617" s="1">
        <v>45377</v>
      </c>
      <c r="I617" s="1">
        <v>45377</v>
      </c>
      <c r="J617">
        <v>96.177999999999997</v>
      </c>
      <c r="K617">
        <v>95.266000000000005</v>
      </c>
      <c r="L617">
        <v>93.182000000000002</v>
      </c>
      <c r="M617">
        <v>70.587999999999994</v>
      </c>
      <c r="N617">
        <v>69.564999999999998</v>
      </c>
      <c r="O617">
        <v>69.564999999999998</v>
      </c>
      <c r="P617">
        <v>70.587999999999994</v>
      </c>
      <c r="Q617">
        <v>69.564999999999998</v>
      </c>
      <c r="R617">
        <v>69.564999999999998</v>
      </c>
      <c r="S617">
        <v>40</v>
      </c>
      <c r="T617">
        <v>33.332999999999998</v>
      </c>
      <c r="U617">
        <v>14.286</v>
      </c>
      <c r="V617">
        <f t="shared" si="27"/>
        <v>69.338499999999996</v>
      </c>
      <c r="W617">
        <f t="shared" si="28"/>
        <v>66.93225000000001</v>
      </c>
      <c r="X617">
        <f t="shared" si="29"/>
        <v>61.649500000000003</v>
      </c>
      <c r="Y617">
        <v>13</v>
      </c>
      <c r="Z617" s="2" t="s">
        <v>510</v>
      </c>
    </row>
    <row r="618" spans="1:26" x14ac:dyDescent="0.25">
      <c r="A618">
        <v>533</v>
      </c>
      <c r="B618">
        <v>702</v>
      </c>
      <c r="C618" t="s">
        <v>22</v>
      </c>
      <c r="D618" t="s">
        <v>508</v>
      </c>
      <c r="E618" t="s">
        <v>30</v>
      </c>
      <c r="F618" t="s">
        <v>585</v>
      </c>
      <c r="G618" t="str">
        <f>VLOOKUP(F618,Hospitals!E:H,4,FALSE)</f>
        <v>28.45992 , 77.06579</v>
      </c>
      <c r="H618" s="1">
        <v>45379</v>
      </c>
      <c r="I618" s="1">
        <v>45379</v>
      </c>
      <c r="J618">
        <v>94.268000000000001</v>
      </c>
      <c r="K618">
        <v>91.123999999999995</v>
      </c>
      <c r="L618">
        <v>88.067999999999998</v>
      </c>
      <c r="M618">
        <v>88.234999999999999</v>
      </c>
      <c r="N618">
        <v>82.608999999999995</v>
      </c>
      <c r="O618">
        <v>82.608999999999995</v>
      </c>
      <c r="P618">
        <v>88.234999999999999</v>
      </c>
      <c r="Q618">
        <v>82.608999999999995</v>
      </c>
      <c r="R618">
        <v>82.608999999999995</v>
      </c>
      <c r="S618">
        <v>10</v>
      </c>
      <c r="T618">
        <v>8.3330000000000002</v>
      </c>
      <c r="U618">
        <v>7.1429999999999998</v>
      </c>
      <c r="V618">
        <f t="shared" si="27"/>
        <v>70.1845</v>
      </c>
      <c r="W618">
        <f t="shared" si="28"/>
        <v>66.168750000000003</v>
      </c>
      <c r="X618">
        <f t="shared" si="29"/>
        <v>65.107249999999993</v>
      </c>
      <c r="Y618">
        <v>13</v>
      </c>
      <c r="Z618" s="2" t="s">
        <v>510</v>
      </c>
    </row>
    <row r="619" spans="1:26" x14ac:dyDescent="0.25">
      <c r="A619">
        <v>436</v>
      </c>
      <c r="B619">
        <v>703</v>
      </c>
      <c r="C619" t="s">
        <v>22</v>
      </c>
      <c r="D619" t="s">
        <v>508</v>
      </c>
      <c r="E619" t="s">
        <v>30</v>
      </c>
      <c r="F619" t="s">
        <v>586</v>
      </c>
      <c r="G619" t="str">
        <f>VLOOKUP(F619,Hospitals!E:H,4,FALSE)</f>
        <v>28.39736 , 77.29467</v>
      </c>
      <c r="H619" s="1">
        <v>45379</v>
      </c>
      <c r="I619" s="1">
        <v>45379</v>
      </c>
      <c r="J619">
        <v>98.725999999999999</v>
      </c>
      <c r="K619">
        <v>98.224999999999994</v>
      </c>
      <c r="L619">
        <v>96.022999999999996</v>
      </c>
      <c r="M619">
        <v>88.234999999999999</v>
      </c>
      <c r="N619">
        <v>82.608999999999995</v>
      </c>
      <c r="O619">
        <v>82.608999999999995</v>
      </c>
      <c r="P619">
        <v>88.234999999999999</v>
      </c>
      <c r="Q619">
        <v>82.608999999999995</v>
      </c>
      <c r="R619">
        <v>82.608999999999995</v>
      </c>
      <c r="S619">
        <v>50</v>
      </c>
      <c r="T619">
        <v>25</v>
      </c>
      <c r="U619">
        <v>7.1429999999999998</v>
      </c>
      <c r="V619">
        <f t="shared" si="27"/>
        <v>81.299000000000007</v>
      </c>
      <c r="W619">
        <f t="shared" si="28"/>
        <v>72.110749999999996</v>
      </c>
      <c r="X619">
        <f t="shared" si="29"/>
        <v>67.095999999999989</v>
      </c>
      <c r="Y619">
        <v>13</v>
      </c>
      <c r="Z619" s="2" t="s">
        <v>510</v>
      </c>
    </row>
    <row r="620" spans="1:26" x14ac:dyDescent="0.25">
      <c r="A620">
        <v>494</v>
      </c>
      <c r="B620">
        <v>704</v>
      </c>
      <c r="C620" t="s">
        <v>22</v>
      </c>
      <c r="D620" t="s">
        <v>508</v>
      </c>
      <c r="E620" t="s">
        <v>30</v>
      </c>
      <c r="F620" t="s">
        <v>587</v>
      </c>
      <c r="G620" t="str">
        <f>VLOOKUP(F620,Hospitals!E:H,4,FALSE)</f>
        <v>28.33449 , 77.33248</v>
      </c>
      <c r="H620" s="1">
        <v>45377</v>
      </c>
      <c r="I620" s="1">
        <v>45377</v>
      </c>
      <c r="J620">
        <v>90.445999999999998</v>
      </c>
      <c r="K620">
        <v>90.533000000000001</v>
      </c>
      <c r="L620">
        <v>87.5</v>
      </c>
      <c r="M620">
        <v>70.587999999999994</v>
      </c>
      <c r="N620">
        <v>73.912999999999997</v>
      </c>
      <c r="O620">
        <v>73.912999999999997</v>
      </c>
      <c r="P620">
        <v>70.587999999999994</v>
      </c>
      <c r="Q620">
        <v>73.912999999999997</v>
      </c>
      <c r="R620">
        <v>73.912999999999997</v>
      </c>
      <c r="S620">
        <v>40</v>
      </c>
      <c r="T620">
        <v>33.332999999999998</v>
      </c>
      <c r="U620">
        <v>14.286</v>
      </c>
      <c r="V620">
        <f t="shared" si="27"/>
        <v>67.905499999999989</v>
      </c>
      <c r="W620">
        <f t="shared" si="28"/>
        <v>67.923000000000002</v>
      </c>
      <c r="X620">
        <f t="shared" si="29"/>
        <v>62.403000000000006</v>
      </c>
      <c r="Y620">
        <v>13</v>
      </c>
      <c r="Z620" s="2" t="s">
        <v>510</v>
      </c>
    </row>
    <row r="621" spans="1:26" x14ac:dyDescent="0.25">
      <c r="A621">
        <v>535</v>
      </c>
      <c r="B621">
        <v>705</v>
      </c>
      <c r="C621" t="s">
        <v>22</v>
      </c>
      <c r="D621" t="s">
        <v>508</v>
      </c>
      <c r="E621" t="s">
        <v>30</v>
      </c>
      <c r="F621" t="s">
        <v>588</v>
      </c>
      <c r="G621" t="str">
        <f>VLOOKUP(F621,Hospitals!E:H,4,FALSE)</f>
        <v>28.43607 , 77.29644</v>
      </c>
      <c r="H621" s="1">
        <v>45380</v>
      </c>
      <c r="I621" s="1">
        <v>45380</v>
      </c>
      <c r="J621">
        <v>100</v>
      </c>
      <c r="K621">
        <v>100</v>
      </c>
      <c r="L621">
        <v>100</v>
      </c>
      <c r="M621">
        <v>100</v>
      </c>
      <c r="N621">
        <v>100</v>
      </c>
      <c r="O621">
        <v>100</v>
      </c>
      <c r="P621">
        <v>100</v>
      </c>
      <c r="Q621">
        <v>100</v>
      </c>
      <c r="R621">
        <v>100</v>
      </c>
      <c r="S621">
        <v>80</v>
      </c>
      <c r="T621">
        <v>75</v>
      </c>
      <c r="U621">
        <v>50</v>
      </c>
      <c r="V621">
        <f t="shared" si="27"/>
        <v>95</v>
      </c>
      <c r="W621">
        <f t="shared" si="28"/>
        <v>93.75</v>
      </c>
      <c r="X621">
        <f t="shared" si="29"/>
        <v>87.5</v>
      </c>
      <c r="Y621">
        <v>13</v>
      </c>
      <c r="Z621" s="2" t="s">
        <v>510</v>
      </c>
    </row>
    <row r="622" spans="1:26" x14ac:dyDescent="0.25">
      <c r="A622">
        <v>435</v>
      </c>
      <c r="B622">
        <v>706</v>
      </c>
      <c r="C622" t="s">
        <v>22</v>
      </c>
      <c r="D622" t="s">
        <v>508</v>
      </c>
      <c r="E622" t="s">
        <v>30</v>
      </c>
      <c r="F622" t="s">
        <v>589</v>
      </c>
      <c r="G622" t="str">
        <f>VLOOKUP(F622,Hospitals!E:H,4,FALSE)</f>
        <v>28.40986 , 77.35542</v>
      </c>
      <c r="H622" s="1">
        <v>45379</v>
      </c>
      <c r="I622" s="1">
        <v>45379</v>
      </c>
      <c r="J622">
        <v>96.814999999999998</v>
      </c>
      <c r="K622">
        <v>96.45</v>
      </c>
      <c r="L622">
        <v>96.590999999999994</v>
      </c>
      <c r="M622">
        <v>88.234999999999999</v>
      </c>
      <c r="N622">
        <v>82.608999999999995</v>
      </c>
      <c r="O622">
        <v>82.608999999999995</v>
      </c>
      <c r="P622">
        <v>88.234999999999999</v>
      </c>
      <c r="Q622">
        <v>82.608999999999995</v>
      </c>
      <c r="R622">
        <v>82.608999999999995</v>
      </c>
      <c r="S622">
        <v>10</v>
      </c>
      <c r="T622">
        <v>8.3330000000000002</v>
      </c>
      <c r="U622">
        <v>0</v>
      </c>
      <c r="V622">
        <f t="shared" si="27"/>
        <v>70.821250000000006</v>
      </c>
      <c r="W622">
        <f t="shared" si="28"/>
        <v>67.500250000000008</v>
      </c>
      <c r="X622">
        <f t="shared" si="29"/>
        <v>65.452249999999992</v>
      </c>
      <c r="Y622">
        <v>13</v>
      </c>
      <c r="Z622" s="2" t="s">
        <v>510</v>
      </c>
    </row>
    <row r="623" spans="1:26" x14ac:dyDescent="0.25">
      <c r="A623">
        <v>471</v>
      </c>
      <c r="B623">
        <v>708</v>
      </c>
      <c r="C623" t="s">
        <v>22</v>
      </c>
      <c r="D623" t="s">
        <v>508</v>
      </c>
      <c r="E623" t="s">
        <v>30</v>
      </c>
      <c r="F623" t="s">
        <v>590</v>
      </c>
      <c r="G623" t="str">
        <f>VLOOKUP(F623,Hospitals!E:H,4,FALSE)</f>
        <v>19.75148 , 75.71389</v>
      </c>
      <c r="H623" s="1">
        <v>45374</v>
      </c>
      <c r="I623" s="1">
        <v>45374</v>
      </c>
      <c r="J623">
        <v>19.108000000000001</v>
      </c>
      <c r="K623">
        <v>17.751000000000001</v>
      </c>
      <c r="L623">
        <v>17.045000000000002</v>
      </c>
      <c r="M623">
        <v>17.646999999999998</v>
      </c>
      <c r="N623">
        <v>13.042999999999999</v>
      </c>
      <c r="O623">
        <v>13.042999999999999</v>
      </c>
      <c r="P623">
        <v>17.646999999999998</v>
      </c>
      <c r="Q623">
        <v>13.042999999999999</v>
      </c>
      <c r="R623">
        <v>13.042999999999999</v>
      </c>
      <c r="S623">
        <v>0</v>
      </c>
      <c r="T623">
        <v>0</v>
      </c>
      <c r="U623">
        <v>0</v>
      </c>
      <c r="V623">
        <f t="shared" si="27"/>
        <v>13.600499999999998</v>
      </c>
      <c r="W623">
        <f t="shared" si="28"/>
        <v>10.959250000000001</v>
      </c>
      <c r="X623">
        <f t="shared" si="29"/>
        <v>10.78275</v>
      </c>
      <c r="Y623">
        <v>13</v>
      </c>
      <c r="Z623" s="2" t="s">
        <v>510</v>
      </c>
    </row>
    <row r="624" spans="1:26" x14ac:dyDescent="0.25">
      <c r="A624">
        <v>452</v>
      </c>
      <c r="B624">
        <v>709</v>
      </c>
      <c r="C624" t="s">
        <v>22</v>
      </c>
      <c r="D624" t="s">
        <v>508</v>
      </c>
      <c r="E624" t="s">
        <v>30</v>
      </c>
      <c r="F624" t="s">
        <v>591</v>
      </c>
      <c r="G624" t="str">
        <f>VLOOKUP(F624,Hospitals!E:H,4,FALSE)</f>
        <v>28.31885 , 77.27499</v>
      </c>
      <c r="H624" s="1">
        <v>45373</v>
      </c>
      <c r="I624" s="1">
        <v>45373</v>
      </c>
      <c r="J624">
        <v>94.268000000000001</v>
      </c>
      <c r="K624">
        <v>94.674999999999997</v>
      </c>
      <c r="L624">
        <v>93.182000000000002</v>
      </c>
      <c r="M624">
        <v>94.117999999999995</v>
      </c>
      <c r="N624">
        <v>95.652000000000001</v>
      </c>
      <c r="O624">
        <v>95.652000000000001</v>
      </c>
      <c r="P624">
        <v>94.117999999999995</v>
      </c>
      <c r="Q624">
        <v>95.652000000000001</v>
      </c>
      <c r="R624">
        <v>95.652000000000001</v>
      </c>
      <c r="S624">
        <v>50</v>
      </c>
      <c r="T624">
        <v>50</v>
      </c>
      <c r="U624">
        <v>14.286</v>
      </c>
      <c r="V624">
        <f t="shared" si="27"/>
        <v>83.126000000000005</v>
      </c>
      <c r="W624">
        <f t="shared" si="28"/>
        <v>83.994749999999996</v>
      </c>
      <c r="X624">
        <f t="shared" si="29"/>
        <v>74.692999999999998</v>
      </c>
      <c r="Y624">
        <v>13</v>
      </c>
      <c r="Z624" s="2" t="s">
        <v>510</v>
      </c>
    </row>
    <row r="625" spans="1:26" x14ac:dyDescent="0.25">
      <c r="A625">
        <v>440</v>
      </c>
      <c r="B625">
        <v>710</v>
      </c>
      <c r="C625" t="s">
        <v>22</v>
      </c>
      <c r="D625" t="s">
        <v>508</v>
      </c>
      <c r="E625" t="s">
        <v>30</v>
      </c>
      <c r="F625" t="s">
        <v>592</v>
      </c>
      <c r="G625" t="str">
        <f>VLOOKUP(F625,Hospitals!E:H,4,FALSE)</f>
        <v>28.41117 , 77.32082</v>
      </c>
      <c r="H625" s="1">
        <v>45373</v>
      </c>
      <c r="I625" s="1">
        <v>45373</v>
      </c>
      <c r="J625">
        <v>90.445999999999998</v>
      </c>
      <c r="K625">
        <v>88.165999999999997</v>
      </c>
      <c r="L625">
        <v>85.227000000000004</v>
      </c>
      <c r="M625">
        <v>88.234999999999999</v>
      </c>
      <c r="N625">
        <v>73.912999999999997</v>
      </c>
      <c r="O625">
        <v>73.912999999999997</v>
      </c>
      <c r="P625">
        <v>88.234999999999999</v>
      </c>
      <c r="Q625">
        <v>73.912999999999997</v>
      </c>
      <c r="R625">
        <v>73.912999999999997</v>
      </c>
      <c r="S625">
        <v>40</v>
      </c>
      <c r="T625">
        <v>16.667000000000002</v>
      </c>
      <c r="U625">
        <v>0</v>
      </c>
      <c r="V625">
        <f t="shared" si="27"/>
        <v>76.728999999999999</v>
      </c>
      <c r="W625">
        <f t="shared" si="28"/>
        <v>63.164750000000005</v>
      </c>
      <c r="X625">
        <f t="shared" si="29"/>
        <v>58.263249999999999</v>
      </c>
      <c r="Y625">
        <v>13</v>
      </c>
      <c r="Z625" s="2" t="s">
        <v>510</v>
      </c>
    </row>
    <row r="626" spans="1:26" x14ac:dyDescent="0.25">
      <c r="A626">
        <v>374</v>
      </c>
      <c r="B626">
        <v>711</v>
      </c>
      <c r="C626" t="s">
        <v>22</v>
      </c>
      <c r="D626" t="s">
        <v>508</v>
      </c>
      <c r="E626" t="s">
        <v>30</v>
      </c>
      <c r="F626" t="s">
        <v>593</v>
      </c>
      <c r="G626" t="str">
        <f>VLOOKUP(F626,Hospitals!E:H,4,FALSE)</f>
        <v>28.4228 , 77.3206</v>
      </c>
      <c r="H626" s="1">
        <v>45365</v>
      </c>
      <c r="I626" s="1">
        <v>45365</v>
      </c>
      <c r="J626">
        <v>92.994</v>
      </c>
      <c r="K626">
        <v>92.899000000000001</v>
      </c>
      <c r="L626">
        <v>93.182000000000002</v>
      </c>
      <c r="M626">
        <v>88.234999999999999</v>
      </c>
      <c r="N626">
        <v>86.956999999999994</v>
      </c>
      <c r="O626">
        <v>86.956999999999994</v>
      </c>
      <c r="P626">
        <v>88.234999999999999</v>
      </c>
      <c r="Q626">
        <v>86.956999999999994</v>
      </c>
      <c r="R626">
        <v>86.956999999999994</v>
      </c>
      <c r="S626">
        <v>90</v>
      </c>
      <c r="T626">
        <v>83.332999999999998</v>
      </c>
      <c r="U626">
        <v>78.570999999999998</v>
      </c>
      <c r="V626">
        <f t="shared" si="27"/>
        <v>89.866</v>
      </c>
      <c r="W626">
        <f t="shared" si="28"/>
        <v>87.53649999999999</v>
      </c>
      <c r="X626">
        <f t="shared" si="29"/>
        <v>86.416750000000008</v>
      </c>
      <c r="Y626">
        <v>13</v>
      </c>
      <c r="Z626" s="2" t="s">
        <v>510</v>
      </c>
    </row>
    <row r="627" spans="1:26" x14ac:dyDescent="0.25">
      <c r="A627">
        <v>514</v>
      </c>
      <c r="B627">
        <v>712</v>
      </c>
      <c r="C627" t="s">
        <v>22</v>
      </c>
      <c r="D627" t="s">
        <v>508</v>
      </c>
      <c r="E627" t="s">
        <v>30</v>
      </c>
      <c r="F627" t="s">
        <v>594</v>
      </c>
      <c r="G627" t="str">
        <f>VLOOKUP(F627,Hospitals!E:H,4,FALSE)</f>
        <v>28.28579 , 77.41281</v>
      </c>
      <c r="H627" s="1">
        <v>45379</v>
      </c>
      <c r="I627" s="1">
        <v>45379</v>
      </c>
      <c r="J627">
        <v>62.42</v>
      </c>
      <c r="K627">
        <v>62.13</v>
      </c>
      <c r="L627">
        <v>60.226999999999997</v>
      </c>
      <c r="M627">
        <v>47.058999999999997</v>
      </c>
      <c r="N627">
        <v>43.478000000000002</v>
      </c>
      <c r="O627">
        <v>43.478000000000002</v>
      </c>
      <c r="P627">
        <v>47.058999999999997</v>
      </c>
      <c r="Q627">
        <v>43.478000000000002</v>
      </c>
      <c r="R627">
        <v>43.478000000000002</v>
      </c>
      <c r="S627">
        <v>30</v>
      </c>
      <c r="T627">
        <v>16.667000000000002</v>
      </c>
      <c r="U627">
        <v>7.1429999999999998</v>
      </c>
      <c r="V627">
        <f t="shared" si="27"/>
        <v>46.634500000000003</v>
      </c>
      <c r="W627">
        <f t="shared" si="28"/>
        <v>41.438250000000004</v>
      </c>
      <c r="X627">
        <f t="shared" si="29"/>
        <v>38.581499999999998</v>
      </c>
      <c r="Y627">
        <v>13</v>
      </c>
      <c r="Z627" s="2" t="s">
        <v>510</v>
      </c>
    </row>
    <row r="628" spans="1:26" x14ac:dyDescent="0.25">
      <c r="A628">
        <v>531</v>
      </c>
      <c r="B628">
        <v>712</v>
      </c>
      <c r="C628" t="s">
        <v>22</v>
      </c>
      <c r="D628" t="s">
        <v>508</v>
      </c>
      <c r="E628" t="s">
        <v>30</v>
      </c>
      <c r="F628" t="s">
        <v>594</v>
      </c>
      <c r="G628" t="str">
        <f>VLOOKUP(F628,Hospitals!E:H,4,FALSE)</f>
        <v>28.28579 , 77.41281</v>
      </c>
      <c r="H628" s="1">
        <v>45379</v>
      </c>
      <c r="I628" t="s">
        <v>35</v>
      </c>
      <c r="J628">
        <v>62.42</v>
      </c>
      <c r="K628">
        <v>62.13</v>
      </c>
      <c r="L628">
        <v>60.226999999999997</v>
      </c>
      <c r="M628">
        <v>47.058999999999997</v>
      </c>
      <c r="N628">
        <v>43.478000000000002</v>
      </c>
      <c r="O628">
        <v>43.478000000000002</v>
      </c>
      <c r="P628">
        <v>47.058999999999997</v>
      </c>
      <c r="Q628">
        <v>43.478000000000002</v>
      </c>
      <c r="R628">
        <v>43.478000000000002</v>
      </c>
      <c r="S628">
        <v>30</v>
      </c>
      <c r="T628">
        <v>16.667000000000002</v>
      </c>
      <c r="U628">
        <v>7.1429999999999998</v>
      </c>
      <c r="V628">
        <f t="shared" si="27"/>
        <v>46.634500000000003</v>
      </c>
      <c r="W628">
        <f t="shared" si="28"/>
        <v>41.438250000000004</v>
      </c>
      <c r="X628">
        <f t="shared" si="29"/>
        <v>38.581499999999998</v>
      </c>
      <c r="Y628">
        <v>13</v>
      </c>
      <c r="Z628" s="2" t="s">
        <v>510</v>
      </c>
    </row>
    <row r="629" spans="1:26" x14ac:dyDescent="0.25">
      <c r="A629">
        <v>433</v>
      </c>
      <c r="B629">
        <v>713</v>
      </c>
      <c r="C629" t="s">
        <v>22</v>
      </c>
      <c r="D629" t="s">
        <v>508</v>
      </c>
      <c r="E629" t="s">
        <v>30</v>
      </c>
      <c r="F629" t="s">
        <v>595</v>
      </c>
      <c r="G629" t="str">
        <f>VLOOKUP(F629,Hospitals!E:H,4,FALSE)</f>
        <v>28.36782 , 77.33645</v>
      </c>
      <c r="H629" s="1">
        <v>45379</v>
      </c>
      <c r="I629" s="1">
        <v>45379</v>
      </c>
      <c r="J629">
        <v>100</v>
      </c>
      <c r="K629">
        <v>100</v>
      </c>
      <c r="L629">
        <v>100</v>
      </c>
      <c r="M629">
        <v>100</v>
      </c>
      <c r="N629">
        <v>100</v>
      </c>
      <c r="O629">
        <v>100</v>
      </c>
      <c r="P629">
        <v>100</v>
      </c>
      <c r="Q629">
        <v>100</v>
      </c>
      <c r="R629">
        <v>100</v>
      </c>
      <c r="S629">
        <v>70</v>
      </c>
      <c r="T629">
        <v>66.667000000000002</v>
      </c>
      <c r="U629">
        <v>42.856999999999999</v>
      </c>
      <c r="V629">
        <f t="shared" si="27"/>
        <v>92.5</v>
      </c>
      <c r="W629">
        <f t="shared" si="28"/>
        <v>91.666750000000008</v>
      </c>
      <c r="X629">
        <f t="shared" si="29"/>
        <v>85.714249999999993</v>
      </c>
      <c r="Y629">
        <v>13</v>
      </c>
      <c r="Z629" s="2" t="s">
        <v>510</v>
      </c>
    </row>
    <row r="630" spans="1:26" x14ac:dyDescent="0.25">
      <c r="A630">
        <v>527</v>
      </c>
      <c r="B630">
        <v>714</v>
      </c>
      <c r="C630" t="s">
        <v>22</v>
      </c>
      <c r="D630" t="s">
        <v>508</v>
      </c>
      <c r="E630" t="s">
        <v>30</v>
      </c>
      <c r="F630" t="s">
        <v>596</v>
      </c>
      <c r="G630" t="str">
        <f>VLOOKUP(F630,Hospitals!E:H,4,FALSE)</f>
        <v>28.61341 , 77.32972</v>
      </c>
      <c r="H630" s="1">
        <v>45380</v>
      </c>
      <c r="I630" s="1">
        <v>45380</v>
      </c>
      <c r="J630">
        <v>71.337999999999994</v>
      </c>
      <c r="K630">
        <v>70.414000000000001</v>
      </c>
      <c r="L630">
        <v>69.317999999999998</v>
      </c>
      <c r="M630">
        <v>58.823999999999998</v>
      </c>
      <c r="N630">
        <v>60.87</v>
      </c>
      <c r="O630">
        <v>60.87</v>
      </c>
      <c r="P630">
        <v>58.823999999999998</v>
      </c>
      <c r="Q630">
        <v>60.87</v>
      </c>
      <c r="R630">
        <v>60.87</v>
      </c>
      <c r="S630">
        <v>50</v>
      </c>
      <c r="T630">
        <v>25</v>
      </c>
      <c r="U630">
        <v>0</v>
      </c>
      <c r="V630">
        <f t="shared" si="27"/>
        <v>59.746499999999997</v>
      </c>
      <c r="W630">
        <f t="shared" si="28"/>
        <v>54.288499999999999</v>
      </c>
      <c r="X630">
        <f t="shared" si="29"/>
        <v>47.764499999999998</v>
      </c>
      <c r="Y630">
        <v>13</v>
      </c>
      <c r="Z630" s="2" t="s">
        <v>510</v>
      </c>
    </row>
    <row r="631" spans="1:26" x14ac:dyDescent="0.25">
      <c r="A631">
        <v>496</v>
      </c>
      <c r="B631">
        <v>715</v>
      </c>
      <c r="C631" t="s">
        <v>22</v>
      </c>
      <c r="D631" t="s">
        <v>508</v>
      </c>
      <c r="E631" t="s">
        <v>77</v>
      </c>
      <c r="F631" t="s">
        <v>597</v>
      </c>
      <c r="G631" t="str">
        <f>VLOOKUP(F631,Hospitals!E:H,4,FALSE)</f>
        <v>28.33599 , 77.31707</v>
      </c>
      <c r="H631" s="1">
        <v>45378</v>
      </c>
      <c r="I631" s="1">
        <v>45378</v>
      </c>
      <c r="J631">
        <v>64.331000000000003</v>
      </c>
      <c r="K631">
        <v>60.947000000000003</v>
      </c>
      <c r="L631">
        <v>58.523000000000003</v>
      </c>
      <c r="M631">
        <v>47.058999999999997</v>
      </c>
      <c r="N631">
        <v>39.130000000000003</v>
      </c>
      <c r="O631">
        <v>39.130000000000003</v>
      </c>
      <c r="P631">
        <v>47.058999999999997</v>
      </c>
      <c r="Q631">
        <v>39.130000000000003</v>
      </c>
      <c r="R631">
        <v>39.130000000000003</v>
      </c>
      <c r="S631">
        <v>20</v>
      </c>
      <c r="T631">
        <v>8.3330000000000002</v>
      </c>
      <c r="U631">
        <v>0</v>
      </c>
      <c r="V631">
        <f t="shared" si="27"/>
        <v>44.612250000000003</v>
      </c>
      <c r="W631">
        <f t="shared" si="28"/>
        <v>36.884999999999998</v>
      </c>
      <c r="X631">
        <f t="shared" si="29"/>
        <v>34.195750000000004</v>
      </c>
      <c r="Y631">
        <v>13</v>
      </c>
      <c r="Z631" s="2" t="s">
        <v>510</v>
      </c>
    </row>
    <row r="632" spans="1:26" x14ac:dyDescent="0.25">
      <c r="A632">
        <v>375</v>
      </c>
      <c r="B632">
        <v>718</v>
      </c>
      <c r="C632" t="s">
        <v>22</v>
      </c>
      <c r="D632" t="s">
        <v>239</v>
      </c>
      <c r="E632" t="s">
        <v>62</v>
      </c>
      <c r="F632" t="s">
        <v>598</v>
      </c>
      <c r="G632" t="str">
        <f>VLOOKUP(F632,Hospitals!E:H,4,FALSE)</f>
        <v>29.79304 , 76.42175</v>
      </c>
      <c r="H632" s="1">
        <v>45418</v>
      </c>
      <c r="I632" s="1">
        <v>45441</v>
      </c>
      <c r="J632">
        <v>89.808999999999997</v>
      </c>
      <c r="K632">
        <v>88.757000000000005</v>
      </c>
      <c r="L632">
        <v>86.932000000000002</v>
      </c>
      <c r="M632">
        <v>100</v>
      </c>
      <c r="N632">
        <v>100</v>
      </c>
      <c r="O632">
        <v>100</v>
      </c>
      <c r="P632">
        <v>100</v>
      </c>
      <c r="Q632">
        <v>100</v>
      </c>
      <c r="R632">
        <v>100</v>
      </c>
      <c r="S632">
        <v>40</v>
      </c>
      <c r="T632">
        <v>25</v>
      </c>
      <c r="U632">
        <v>14.286</v>
      </c>
      <c r="V632">
        <f t="shared" si="27"/>
        <v>82.452249999999992</v>
      </c>
      <c r="W632">
        <f t="shared" si="28"/>
        <v>78.439250000000001</v>
      </c>
      <c r="X632">
        <f t="shared" si="29"/>
        <v>75.304500000000004</v>
      </c>
      <c r="Y632">
        <v>13</v>
      </c>
      <c r="Z632" s="2" t="s">
        <v>241</v>
      </c>
    </row>
    <row r="633" spans="1:26" x14ac:dyDescent="0.25">
      <c r="A633">
        <v>442</v>
      </c>
      <c r="B633">
        <v>719</v>
      </c>
      <c r="C633" t="s">
        <v>22</v>
      </c>
      <c r="D633" t="s">
        <v>239</v>
      </c>
      <c r="E633" t="s">
        <v>27</v>
      </c>
      <c r="F633" t="s">
        <v>599</v>
      </c>
      <c r="G633" t="str">
        <f>VLOOKUP(F633,Hospitals!E:H,4,FALSE)</f>
        <v>29.81876 , 76.39904</v>
      </c>
      <c r="H633" s="1">
        <v>45373</v>
      </c>
      <c r="I633" s="1">
        <v>45373</v>
      </c>
      <c r="J633">
        <v>10.191000000000001</v>
      </c>
      <c r="K633">
        <v>9.4670000000000005</v>
      </c>
      <c r="L633">
        <v>9.0909999999999993</v>
      </c>
      <c r="M633">
        <v>17.646999999999998</v>
      </c>
      <c r="N633">
        <v>13.042999999999999</v>
      </c>
      <c r="O633">
        <v>13.042999999999999</v>
      </c>
      <c r="P633">
        <v>17.646999999999998</v>
      </c>
      <c r="Q633">
        <v>13.042999999999999</v>
      </c>
      <c r="R633">
        <v>13.042999999999999</v>
      </c>
      <c r="S633">
        <v>0</v>
      </c>
      <c r="T633">
        <v>0</v>
      </c>
      <c r="U633">
        <v>0</v>
      </c>
      <c r="V633">
        <f t="shared" si="27"/>
        <v>11.37125</v>
      </c>
      <c r="W633">
        <f t="shared" si="28"/>
        <v>8.8882499999999993</v>
      </c>
      <c r="X633">
        <f t="shared" si="29"/>
        <v>8.7942499999999999</v>
      </c>
      <c r="Y633">
        <v>13</v>
      </c>
      <c r="Z633" s="2" t="s">
        <v>241</v>
      </c>
    </row>
    <row r="634" spans="1:26" x14ac:dyDescent="0.25">
      <c r="A634">
        <v>1150</v>
      </c>
      <c r="B634">
        <v>72</v>
      </c>
      <c r="C634" t="s">
        <v>22</v>
      </c>
      <c r="D634" t="s">
        <v>29</v>
      </c>
      <c r="E634" t="s">
        <v>27</v>
      </c>
      <c r="F634" t="s">
        <v>600</v>
      </c>
      <c r="G634" t="str">
        <f>VLOOKUP(F634,Hospitals!E:H,4,FALSE)</f>
        <v>28.38786 , 77.02189</v>
      </c>
      <c r="H634" s="1">
        <v>45679</v>
      </c>
      <c r="I634" s="1">
        <v>45679</v>
      </c>
      <c r="J634">
        <v>3.1850000000000001</v>
      </c>
      <c r="K634">
        <v>2.9590000000000001</v>
      </c>
      <c r="L634">
        <v>2.8410000000000002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f t="shared" si="27"/>
        <v>0.79625000000000001</v>
      </c>
      <c r="W634">
        <f t="shared" si="28"/>
        <v>0.73975000000000002</v>
      </c>
      <c r="X634">
        <f t="shared" si="29"/>
        <v>0.71025000000000005</v>
      </c>
      <c r="Y634">
        <v>13</v>
      </c>
      <c r="Z634" s="2" t="s">
        <v>31</v>
      </c>
    </row>
    <row r="635" spans="1:26" x14ac:dyDescent="0.25">
      <c r="A635">
        <v>783</v>
      </c>
      <c r="B635">
        <v>721</v>
      </c>
      <c r="C635" t="s">
        <v>22</v>
      </c>
      <c r="D635" t="s">
        <v>239</v>
      </c>
      <c r="E635" t="s">
        <v>27</v>
      </c>
      <c r="F635" t="s">
        <v>601</v>
      </c>
      <c r="G635" t="str">
        <f>VLOOKUP(F635,Hospitals!E:H,4,FALSE)</f>
        <v>29.78939 , 76.41498</v>
      </c>
      <c r="H635" s="1">
        <v>45449</v>
      </c>
      <c r="I635" s="1">
        <v>45457</v>
      </c>
      <c r="J635">
        <v>48.408000000000001</v>
      </c>
      <c r="K635">
        <v>46.154000000000003</v>
      </c>
      <c r="L635">
        <v>44.317999999999998</v>
      </c>
      <c r="M635">
        <v>52.941000000000003</v>
      </c>
      <c r="N635">
        <v>39.130000000000003</v>
      </c>
      <c r="O635">
        <v>39.130000000000003</v>
      </c>
      <c r="P635">
        <v>52.941000000000003</v>
      </c>
      <c r="Q635">
        <v>39.130000000000003</v>
      </c>
      <c r="R635">
        <v>39.130000000000003</v>
      </c>
      <c r="S635">
        <v>10</v>
      </c>
      <c r="T635">
        <v>8.3330000000000002</v>
      </c>
      <c r="U635">
        <v>0</v>
      </c>
      <c r="V635">
        <f t="shared" si="27"/>
        <v>41.072500000000005</v>
      </c>
      <c r="W635">
        <f t="shared" si="28"/>
        <v>33.186750000000004</v>
      </c>
      <c r="X635">
        <f t="shared" si="29"/>
        <v>30.644500000000001</v>
      </c>
      <c r="Y635">
        <v>13</v>
      </c>
      <c r="Z635" s="2" t="s">
        <v>241</v>
      </c>
    </row>
    <row r="636" spans="1:26" x14ac:dyDescent="0.25">
      <c r="A636">
        <v>781</v>
      </c>
      <c r="B636">
        <v>721</v>
      </c>
      <c r="C636" t="s">
        <v>22</v>
      </c>
      <c r="D636" t="s">
        <v>239</v>
      </c>
      <c r="E636" t="s">
        <v>27</v>
      </c>
      <c r="F636" t="s">
        <v>601</v>
      </c>
      <c r="G636" t="str">
        <f>VLOOKUP(F636,Hospitals!E:H,4,FALSE)</f>
        <v>29.78939 , 76.41498</v>
      </c>
      <c r="H636" s="1">
        <v>45449</v>
      </c>
      <c r="I636" s="1">
        <v>45449</v>
      </c>
      <c r="J636">
        <v>48.408000000000001</v>
      </c>
      <c r="K636">
        <v>46.154000000000003</v>
      </c>
      <c r="L636">
        <v>44.317999999999998</v>
      </c>
      <c r="M636">
        <v>52.941000000000003</v>
      </c>
      <c r="N636">
        <v>39.130000000000003</v>
      </c>
      <c r="O636">
        <v>39.130000000000003</v>
      </c>
      <c r="P636">
        <v>52.941000000000003</v>
      </c>
      <c r="Q636">
        <v>39.130000000000003</v>
      </c>
      <c r="R636">
        <v>39.130000000000003</v>
      </c>
      <c r="S636">
        <v>10</v>
      </c>
      <c r="T636">
        <v>8.3330000000000002</v>
      </c>
      <c r="U636">
        <v>0</v>
      </c>
      <c r="V636">
        <f t="shared" si="27"/>
        <v>41.072500000000005</v>
      </c>
      <c r="W636">
        <f t="shared" si="28"/>
        <v>33.186750000000004</v>
      </c>
      <c r="X636">
        <f t="shared" si="29"/>
        <v>30.644500000000001</v>
      </c>
      <c r="Y636">
        <v>13</v>
      </c>
      <c r="Z636" s="2" t="s">
        <v>241</v>
      </c>
    </row>
    <row r="637" spans="1:26" x14ac:dyDescent="0.25">
      <c r="A637">
        <v>745</v>
      </c>
      <c r="B637">
        <v>722</v>
      </c>
      <c r="C637" t="s">
        <v>22</v>
      </c>
      <c r="D637" t="s">
        <v>239</v>
      </c>
      <c r="E637" t="s">
        <v>27</v>
      </c>
      <c r="F637" t="s">
        <v>602</v>
      </c>
      <c r="G637" t="str">
        <f>VLOOKUP(F637,Hospitals!E:H,4,FALSE)</f>
        <v>29.45843 , 76.97531</v>
      </c>
      <c r="H637" s="1">
        <v>45428</v>
      </c>
      <c r="I637" s="1">
        <v>45428</v>
      </c>
      <c r="J637">
        <v>15.923999999999999</v>
      </c>
      <c r="K637">
        <v>15.385</v>
      </c>
      <c r="L637">
        <v>14.773</v>
      </c>
      <c r="M637">
        <v>23.529</v>
      </c>
      <c r="N637">
        <v>17.390999999999998</v>
      </c>
      <c r="O637">
        <v>17.390999999999998</v>
      </c>
      <c r="P637">
        <v>23.529</v>
      </c>
      <c r="Q637">
        <v>17.390999999999998</v>
      </c>
      <c r="R637">
        <v>17.390999999999998</v>
      </c>
      <c r="S637">
        <v>0</v>
      </c>
      <c r="T637">
        <v>0</v>
      </c>
      <c r="U637">
        <v>0</v>
      </c>
      <c r="V637">
        <f t="shared" si="27"/>
        <v>15.7455</v>
      </c>
      <c r="W637">
        <f t="shared" si="28"/>
        <v>12.541749999999999</v>
      </c>
      <c r="X637">
        <f t="shared" si="29"/>
        <v>12.38875</v>
      </c>
      <c r="Y637">
        <v>13</v>
      </c>
      <c r="Z637" s="2" t="s">
        <v>241</v>
      </c>
    </row>
    <row r="638" spans="1:26" x14ac:dyDescent="0.25">
      <c r="A638">
        <v>801</v>
      </c>
      <c r="B638">
        <v>723</v>
      </c>
      <c r="C638" t="s">
        <v>22</v>
      </c>
      <c r="D638" t="s">
        <v>239</v>
      </c>
      <c r="E638" t="s">
        <v>27</v>
      </c>
      <c r="F638" t="s">
        <v>603</v>
      </c>
      <c r="G638" t="str">
        <f>VLOOKUP(F638,Hospitals!E:H,4,FALSE)</f>
        <v>28.99308 , 77.01507</v>
      </c>
      <c r="H638" s="1">
        <v>45546</v>
      </c>
      <c r="I638" s="1">
        <v>45546</v>
      </c>
      <c r="J638">
        <v>26.114999999999998</v>
      </c>
      <c r="K638">
        <v>24.26</v>
      </c>
      <c r="L638">
        <v>23.295000000000002</v>
      </c>
      <c r="M638">
        <v>52.941000000000003</v>
      </c>
      <c r="N638">
        <v>39.130000000000003</v>
      </c>
      <c r="O638">
        <v>39.130000000000003</v>
      </c>
      <c r="P638">
        <v>52.941000000000003</v>
      </c>
      <c r="Q638">
        <v>39.130000000000003</v>
      </c>
      <c r="R638">
        <v>39.130000000000003</v>
      </c>
      <c r="S638">
        <v>0</v>
      </c>
      <c r="T638">
        <v>0</v>
      </c>
      <c r="U638">
        <v>0</v>
      </c>
      <c r="V638">
        <f t="shared" si="27"/>
        <v>32.999250000000004</v>
      </c>
      <c r="W638">
        <f t="shared" si="28"/>
        <v>25.630000000000003</v>
      </c>
      <c r="X638">
        <f t="shared" si="29"/>
        <v>25.388750000000002</v>
      </c>
      <c r="Y638">
        <v>13</v>
      </c>
      <c r="Z638" s="2" t="s">
        <v>241</v>
      </c>
    </row>
    <row r="639" spans="1:26" x14ac:dyDescent="0.25">
      <c r="A639">
        <v>578</v>
      </c>
      <c r="B639">
        <v>724</v>
      </c>
      <c r="C639" t="s">
        <v>22</v>
      </c>
      <c r="D639" t="s">
        <v>239</v>
      </c>
      <c r="E639" t="s">
        <v>27</v>
      </c>
      <c r="F639" t="s">
        <v>604</v>
      </c>
      <c r="G639" t="str">
        <f>VLOOKUP(F639,Hospitals!E:H,4,FALSE)</f>
        <v>29.77552 , 76.41003</v>
      </c>
      <c r="H639" s="1">
        <v>45397</v>
      </c>
      <c r="I639" s="1">
        <v>45397</v>
      </c>
      <c r="J639">
        <v>15.923999999999999</v>
      </c>
      <c r="K639">
        <v>15.385</v>
      </c>
      <c r="L639">
        <v>14.773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f t="shared" si="27"/>
        <v>3.9809999999999999</v>
      </c>
      <c r="W639">
        <f t="shared" si="28"/>
        <v>3.8462499999999999</v>
      </c>
      <c r="X639">
        <f t="shared" si="29"/>
        <v>3.6932499999999999</v>
      </c>
      <c r="Y639">
        <v>13</v>
      </c>
      <c r="Z639" s="2" t="s">
        <v>241</v>
      </c>
    </row>
    <row r="640" spans="1:26" x14ac:dyDescent="0.25">
      <c r="A640">
        <v>598</v>
      </c>
      <c r="B640">
        <v>725</v>
      </c>
      <c r="C640" t="s">
        <v>22</v>
      </c>
      <c r="D640" t="s">
        <v>239</v>
      </c>
      <c r="E640" t="s">
        <v>27</v>
      </c>
      <c r="F640" t="s">
        <v>605</v>
      </c>
      <c r="G640" t="str">
        <f>VLOOKUP(F640,Hospitals!E:H,4,FALSE)</f>
        <v>29.80337 , 76.40555</v>
      </c>
      <c r="H640" s="1">
        <v>45414</v>
      </c>
      <c r="I640" s="1">
        <v>45414</v>
      </c>
      <c r="J640">
        <v>29.298999999999999</v>
      </c>
      <c r="K640">
        <v>27.811</v>
      </c>
      <c r="L640">
        <v>26.704999999999998</v>
      </c>
      <c r="M640">
        <v>41.176000000000002</v>
      </c>
      <c r="N640">
        <v>30.434999999999999</v>
      </c>
      <c r="O640">
        <v>30.434999999999999</v>
      </c>
      <c r="P640">
        <v>41.176000000000002</v>
      </c>
      <c r="Q640">
        <v>30.434999999999999</v>
      </c>
      <c r="R640">
        <v>30.434999999999999</v>
      </c>
      <c r="S640">
        <v>0</v>
      </c>
      <c r="T640">
        <v>0</v>
      </c>
      <c r="U640">
        <v>0</v>
      </c>
      <c r="V640">
        <f t="shared" si="27"/>
        <v>27.912749999999999</v>
      </c>
      <c r="W640">
        <f t="shared" si="28"/>
        <v>22.170249999999999</v>
      </c>
      <c r="X640">
        <f t="shared" si="29"/>
        <v>21.893750000000001</v>
      </c>
      <c r="Y640">
        <v>13</v>
      </c>
      <c r="Z640" s="2" t="s">
        <v>241</v>
      </c>
    </row>
    <row r="641" spans="1:26" x14ac:dyDescent="0.25">
      <c r="A641">
        <v>759</v>
      </c>
      <c r="B641">
        <v>726</v>
      </c>
      <c r="C641" t="s">
        <v>22</v>
      </c>
      <c r="D641" t="s">
        <v>239</v>
      </c>
      <c r="E641" t="s">
        <v>27</v>
      </c>
      <c r="F641" t="s">
        <v>606</v>
      </c>
      <c r="G641" t="str">
        <f>VLOOKUP(F641,Hospitals!E:H,4,FALSE)</f>
        <v>29.77552 , 76.41003</v>
      </c>
      <c r="H641" s="1">
        <v>45439</v>
      </c>
      <c r="I641" s="1">
        <v>45439</v>
      </c>
      <c r="J641">
        <v>49.045000000000002</v>
      </c>
      <c r="K641">
        <v>45.561999999999998</v>
      </c>
      <c r="L641">
        <v>43.75</v>
      </c>
      <c r="M641">
        <v>47.058999999999997</v>
      </c>
      <c r="N641">
        <v>34.783000000000001</v>
      </c>
      <c r="O641">
        <v>34.783000000000001</v>
      </c>
      <c r="P641">
        <v>47.058999999999997</v>
      </c>
      <c r="Q641">
        <v>34.783000000000001</v>
      </c>
      <c r="R641">
        <v>34.783000000000001</v>
      </c>
      <c r="S641">
        <v>0</v>
      </c>
      <c r="T641">
        <v>0</v>
      </c>
      <c r="U641">
        <v>0</v>
      </c>
      <c r="V641">
        <f t="shared" si="27"/>
        <v>35.790750000000003</v>
      </c>
      <c r="W641">
        <f t="shared" si="28"/>
        <v>28.782</v>
      </c>
      <c r="X641">
        <f t="shared" si="29"/>
        <v>28.329000000000001</v>
      </c>
      <c r="Y641">
        <v>13</v>
      </c>
      <c r="Z641" s="2" t="s">
        <v>241</v>
      </c>
    </row>
    <row r="642" spans="1:26" x14ac:dyDescent="0.25">
      <c r="A642">
        <v>701</v>
      </c>
      <c r="B642">
        <v>727</v>
      </c>
      <c r="C642" t="s">
        <v>22</v>
      </c>
      <c r="D642" t="s">
        <v>239</v>
      </c>
      <c r="E642" t="s">
        <v>27</v>
      </c>
      <c r="F642" t="s">
        <v>607</v>
      </c>
      <c r="G642" t="str">
        <f>VLOOKUP(F642,Hospitals!E:H,4,FALSE)</f>
        <v>29.77552 , 76.41003</v>
      </c>
      <c r="H642" s="1">
        <v>45439</v>
      </c>
      <c r="I642" s="1">
        <v>45439</v>
      </c>
      <c r="J642">
        <v>31.21</v>
      </c>
      <c r="K642">
        <v>28.994</v>
      </c>
      <c r="L642">
        <v>27.841000000000001</v>
      </c>
      <c r="M642">
        <v>11.765000000000001</v>
      </c>
      <c r="N642">
        <v>13.042999999999999</v>
      </c>
      <c r="O642">
        <v>13.042999999999999</v>
      </c>
      <c r="P642">
        <v>11.765000000000001</v>
      </c>
      <c r="Q642">
        <v>13.042999999999999</v>
      </c>
      <c r="R642">
        <v>13.042999999999999</v>
      </c>
      <c r="S642">
        <v>0</v>
      </c>
      <c r="T642">
        <v>0</v>
      </c>
      <c r="U642">
        <v>0</v>
      </c>
      <c r="V642">
        <f t="shared" si="27"/>
        <v>13.685</v>
      </c>
      <c r="W642">
        <f t="shared" si="28"/>
        <v>13.77</v>
      </c>
      <c r="X642">
        <f t="shared" si="29"/>
        <v>13.48175</v>
      </c>
      <c r="Y642">
        <v>13</v>
      </c>
      <c r="Z642" s="2" t="s">
        <v>241</v>
      </c>
    </row>
    <row r="643" spans="1:26" x14ac:dyDescent="0.25">
      <c r="A643">
        <v>571</v>
      </c>
      <c r="B643">
        <v>728</v>
      </c>
      <c r="C643" t="s">
        <v>22</v>
      </c>
      <c r="D643" t="s">
        <v>239</v>
      </c>
      <c r="E643" t="s">
        <v>27</v>
      </c>
      <c r="F643" t="s">
        <v>608</v>
      </c>
      <c r="G643" t="str">
        <f>VLOOKUP(F643,Hospitals!E:H,4,FALSE)</f>
        <v>29.80837 , 76.39844</v>
      </c>
      <c r="H643" s="1">
        <v>45385</v>
      </c>
      <c r="I643" s="1">
        <v>45385</v>
      </c>
      <c r="J643">
        <v>33.121000000000002</v>
      </c>
      <c r="K643">
        <v>30.768999999999998</v>
      </c>
      <c r="L643">
        <v>29.545000000000002</v>
      </c>
      <c r="M643">
        <v>47.058999999999997</v>
      </c>
      <c r="N643">
        <v>34.783000000000001</v>
      </c>
      <c r="O643">
        <v>34.783000000000001</v>
      </c>
      <c r="P643">
        <v>47.058999999999997</v>
      </c>
      <c r="Q643">
        <v>34.783000000000001</v>
      </c>
      <c r="R643">
        <v>34.783000000000001</v>
      </c>
      <c r="S643">
        <v>0</v>
      </c>
      <c r="T643">
        <v>0</v>
      </c>
      <c r="U643">
        <v>0</v>
      </c>
      <c r="V643">
        <f t="shared" ref="V643:V706" si="30">AVERAGE(J643,M643,P643,S643)</f>
        <v>31.809750000000001</v>
      </c>
      <c r="W643">
        <f t="shared" ref="W643:W706" si="31">AVERAGE(K643,N643,Q643,T643)</f>
        <v>25.083749999999998</v>
      </c>
      <c r="X643">
        <f t="shared" ref="X643:X706" si="32">AVERAGE(L643,O643,R643,U643)</f>
        <v>24.777750000000001</v>
      </c>
      <c r="Y643">
        <v>13</v>
      </c>
      <c r="Z643" s="2" t="s">
        <v>241</v>
      </c>
    </row>
    <row r="644" spans="1:26" x14ac:dyDescent="0.25">
      <c r="A644">
        <v>564</v>
      </c>
      <c r="B644">
        <v>729</v>
      </c>
      <c r="C644" t="s">
        <v>22</v>
      </c>
      <c r="D644" t="s">
        <v>239</v>
      </c>
      <c r="E644" t="s">
        <v>27</v>
      </c>
      <c r="F644" t="s">
        <v>609</v>
      </c>
      <c r="G644" t="str">
        <f>VLOOKUP(F644,Hospitals!E:H,4,FALSE)</f>
        <v>29.8185 , 76.40817</v>
      </c>
      <c r="H644" s="1">
        <v>45384</v>
      </c>
      <c r="I644" s="1">
        <v>45384</v>
      </c>
      <c r="J644">
        <v>18.471</v>
      </c>
      <c r="K644">
        <v>17.16</v>
      </c>
      <c r="L644">
        <v>16.477</v>
      </c>
      <c r="M644">
        <v>23.529</v>
      </c>
      <c r="N644">
        <v>17.390999999999998</v>
      </c>
      <c r="O644">
        <v>17.390999999999998</v>
      </c>
      <c r="P644">
        <v>23.529</v>
      </c>
      <c r="Q644">
        <v>17.390999999999998</v>
      </c>
      <c r="R644">
        <v>17.390999999999998</v>
      </c>
      <c r="S644">
        <v>0</v>
      </c>
      <c r="T644">
        <v>0</v>
      </c>
      <c r="U644">
        <v>0</v>
      </c>
      <c r="V644">
        <f t="shared" si="30"/>
        <v>16.382249999999999</v>
      </c>
      <c r="W644">
        <f t="shared" si="31"/>
        <v>12.9855</v>
      </c>
      <c r="X644">
        <f t="shared" si="32"/>
        <v>12.814749999999998</v>
      </c>
      <c r="Y644">
        <v>13</v>
      </c>
      <c r="Z644" s="2" t="s">
        <v>241</v>
      </c>
    </row>
    <row r="645" spans="1:26" x14ac:dyDescent="0.25">
      <c r="A645">
        <v>523</v>
      </c>
      <c r="B645">
        <v>730</v>
      </c>
      <c r="C645" t="s">
        <v>22</v>
      </c>
      <c r="D645" t="s">
        <v>239</v>
      </c>
      <c r="E645" t="s">
        <v>27</v>
      </c>
      <c r="F645" t="s">
        <v>610</v>
      </c>
      <c r="G645" t="str">
        <f>VLOOKUP(F645,Hospitals!E:H,4,FALSE)</f>
        <v>28.90345 , 76.57194</v>
      </c>
      <c r="H645" s="1">
        <v>45404</v>
      </c>
      <c r="I645" s="1">
        <v>45404</v>
      </c>
      <c r="J645">
        <v>47.134</v>
      </c>
      <c r="K645">
        <v>44.378999999999998</v>
      </c>
      <c r="L645">
        <v>42.613999999999997</v>
      </c>
      <c r="M645">
        <v>35.293999999999997</v>
      </c>
      <c r="N645">
        <v>26.087</v>
      </c>
      <c r="O645">
        <v>26.087</v>
      </c>
      <c r="P645">
        <v>35.293999999999997</v>
      </c>
      <c r="Q645">
        <v>26.087</v>
      </c>
      <c r="R645">
        <v>26.087</v>
      </c>
      <c r="S645">
        <v>0</v>
      </c>
      <c r="T645">
        <v>0</v>
      </c>
      <c r="U645">
        <v>0</v>
      </c>
      <c r="V645">
        <f t="shared" si="30"/>
        <v>29.430499999999999</v>
      </c>
      <c r="W645">
        <f t="shared" si="31"/>
        <v>24.138249999999999</v>
      </c>
      <c r="X645">
        <f t="shared" si="32"/>
        <v>23.696999999999999</v>
      </c>
      <c r="Y645">
        <v>13</v>
      </c>
      <c r="Z645" s="2" t="s">
        <v>241</v>
      </c>
    </row>
    <row r="646" spans="1:26" x14ac:dyDescent="0.25">
      <c r="A646">
        <v>688</v>
      </c>
      <c r="B646">
        <v>731</v>
      </c>
      <c r="C646" t="s">
        <v>22</v>
      </c>
      <c r="D646" t="s">
        <v>239</v>
      </c>
      <c r="E646" t="s">
        <v>30</v>
      </c>
      <c r="F646" t="s">
        <v>611</v>
      </c>
      <c r="G646" t="str">
        <f>VLOOKUP(F646,Hospitals!E:H,4,FALSE)</f>
        <v>28.99308 , 77.01507</v>
      </c>
      <c r="H646" s="1">
        <v>45416</v>
      </c>
      <c r="I646" s="1">
        <v>45416</v>
      </c>
      <c r="J646">
        <v>98.725999999999999</v>
      </c>
      <c r="K646">
        <v>98.816999999999993</v>
      </c>
      <c r="L646">
        <v>97.727000000000004</v>
      </c>
      <c r="M646">
        <v>100</v>
      </c>
      <c r="N646">
        <v>100</v>
      </c>
      <c r="O646">
        <v>100</v>
      </c>
      <c r="P646">
        <v>100</v>
      </c>
      <c r="Q646">
        <v>100</v>
      </c>
      <c r="R646">
        <v>100</v>
      </c>
      <c r="S646">
        <v>70</v>
      </c>
      <c r="T646">
        <v>66.667000000000002</v>
      </c>
      <c r="U646">
        <v>35.713999999999999</v>
      </c>
      <c r="V646">
        <f t="shared" si="30"/>
        <v>92.1815</v>
      </c>
      <c r="W646">
        <f t="shared" si="31"/>
        <v>91.371000000000009</v>
      </c>
      <c r="X646">
        <f t="shared" si="32"/>
        <v>83.360249999999994</v>
      </c>
      <c r="Y646">
        <v>13</v>
      </c>
      <c r="Z646" s="2" t="s">
        <v>241</v>
      </c>
    </row>
    <row r="647" spans="1:26" x14ac:dyDescent="0.25">
      <c r="A647">
        <v>426</v>
      </c>
      <c r="B647">
        <v>732</v>
      </c>
      <c r="C647" t="s">
        <v>22</v>
      </c>
      <c r="D647" t="s">
        <v>239</v>
      </c>
      <c r="E647" t="s">
        <v>30</v>
      </c>
      <c r="F647" t="s">
        <v>612</v>
      </c>
      <c r="G647" t="str">
        <f>VLOOKUP(F647,Hospitals!E:H,4,FALSE)</f>
        <v>29.7599 , 76.56243</v>
      </c>
      <c r="H647" s="1">
        <v>45553</v>
      </c>
      <c r="I647" s="1">
        <v>45553</v>
      </c>
      <c r="J647">
        <v>90.445999999999998</v>
      </c>
      <c r="K647">
        <v>86.981999999999999</v>
      </c>
      <c r="L647">
        <v>85.795000000000002</v>
      </c>
      <c r="M647">
        <v>94.117999999999995</v>
      </c>
      <c r="N647">
        <v>91.304000000000002</v>
      </c>
      <c r="O647">
        <v>91.304000000000002</v>
      </c>
      <c r="P647">
        <v>94.117999999999995</v>
      </c>
      <c r="Q647">
        <v>91.304000000000002</v>
      </c>
      <c r="R647">
        <v>91.304000000000002</v>
      </c>
      <c r="S647">
        <v>20</v>
      </c>
      <c r="T647">
        <v>25</v>
      </c>
      <c r="U647">
        <v>7.1429999999999998</v>
      </c>
      <c r="V647">
        <f t="shared" si="30"/>
        <v>74.670500000000004</v>
      </c>
      <c r="W647">
        <f t="shared" si="31"/>
        <v>73.647500000000008</v>
      </c>
      <c r="X647">
        <f t="shared" si="32"/>
        <v>68.886499999999998</v>
      </c>
      <c r="Y647">
        <v>13</v>
      </c>
      <c r="Z647" s="2" t="s">
        <v>241</v>
      </c>
    </row>
    <row r="648" spans="1:26" x14ac:dyDescent="0.25">
      <c r="A648">
        <v>827</v>
      </c>
      <c r="B648">
        <v>733</v>
      </c>
      <c r="C648">
        <v>13</v>
      </c>
      <c r="D648" s="2" t="s">
        <v>241</v>
      </c>
      <c r="E648" t="s">
        <v>30</v>
      </c>
      <c r="F648" t="s">
        <v>613</v>
      </c>
      <c r="G648" t="str">
        <f>VLOOKUP(F648,Hospitals!E:H,4,FALSE)</f>
        <v>28.99308 , 77.01507</v>
      </c>
      <c r="H648" s="1">
        <v>45464</v>
      </c>
      <c r="I648" t="s">
        <v>35</v>
      </c>
      <c r="J648">
        <v>100</v>
      </c>
      <c r="K648">
        <v>99.408000000000001</v>
      </c>
      <c r="L648">
        <v>98.864000000000004</v>
      </c>
      <c r="M648">
        <v>88.234999999999999</v>
      </c>
      <c r="N648">
        <v>82.608999999999995</v>
      </c>
      <c r="O648">
        <v>82.608999999999995</v>
      </c>
      <c r="P648">
        <v>88.234999999999999</v>
      </c>
      <c r="Q648">
        <v>82.608999999999995</v>
      </c>
      <c r="R648">
        <v>82.608999999999995</v>
      </c>
      <c r="S648">
        <v>40</v>
      </c>
      <c r="T648">
        <v>41.667000000000002</v>
      </c>
      <c r="U648">
        <v>14.286</v>
      </c>
      <c r="V648">
        <f t="shared" si="30"/>
        <v>79.117500000000007</v>
      </c>
      <c r="W648">
        <f t="shared" si="31"/>
        <v>76.573250000000002</v>
      </c>
      <c r="X648">
        <f t="shared" si="32"/>
        <v>69.591999999999999</v>
      </c>
      <c r="Y648">
        <v>13</v>
      </c>
      <c r="Z648" s="2" t="s">
        <v>241</v>
      </c>
    </row>
    <row r="649" spans="1:26" x14ac:dyDescent="0.25">
      <c r="A649">
        <v>689</v>
      </c>
      <c r="B649">
        <v>733</v>
      </c>
      <c r="C649">
        <v>13</v>
      </c>
      <c r="D649" s="2" t="s">
        <v>241</v>
      </c>
      <c r="E649" t="s">
        <v>30</v>
      </c>
      <c r="F649" t="s">
        <v>613</v>
      </c>
      <c r="G649" t="str">
        <f>VLOOKUP(F649,Hospitals!E:H,4,FALSE)</f>
        <v>28.99308 , 77.01507</v>
      </c>
      <c r="H649" s="1">
        <v>45464</v>
      </c>
      <c r="I649" s="1">
        <v>45464</v>
      </c>
      <c r="J649">
        <v>100</v>
      </c>
      <c r="K649">
        <v>99.408000000000001</v>
      </c>
      <c r="L649">
        <v>98.864000000000004</v>
      </c>
      <c r="M649">
        <v>88.234999999999999</v>
      </c>
      <c r="N649">
        <v>82.608999999999995</v>
      </c>
      <c r="O649">
        <v>82.608999999999995</v>
      </c>
      <c r="P649">
        <v>88.234999999999999</v>
      </c>
      <c r="Q649">
        <v>82.608999999999995</v>
      </c>
      <c r="R649">
        <v>82.608999999999995</v>
      </c>
      <c r="S649">
        <v>40</v>
      </c>
      <c r="T649">
        <v>41.667000000000002</v>
      </c>
      <c r="U649">
        <v>14.286</v>
      </c>
      <c r="V649">
        <f t="shared" si="30"/>
        <v>79.117500000000007</v>
      </c>
      <c r="W649">
        <f t="shared" si="31"/>
        <v>76.573250000000002</v>
      </c>
      <c r="X649">
        <f t="shared" si="32"/>
        <v>69.591999999999999</v>
      </c>
      <c r="Y649">
        <v>13</v>
      </c>
      <c r="Z649" s="2" t="s">
        <v>241</v>
      </c>
    </row>
    <row r="650" spans="1:26" x14ac:dyDescent="0.25">
      <c r="A650">
        <v>1021</v>
      </c>
      <c r="B650">
        <v>735</v>
      </c>
      <c r="C650" t="s">
        <v>22</v>
      </c>
      <c r="D650" t="s">
        <v>239</v>
      </c>
      <c r="E650" t="s">
        <v>30</v>
      </c>
      <c r="F650" t="s">
        <v>614</v>
      </c>
      <c r="G650" t="str">
        <f>VLOOKUP(F650,Hospitals!E:H,4,FALSE)</f>
        <v>29.8035 , 76.41603</v>
      </c>
      <c r="H650" s="1">
        <v>45546</v>
      </c>
      <c r="I650" t="s">
        <v>35</v>
      </c>
      <c r="J650">
        <v>84.075999999999993</v>
      </c>
      <c r="K650">
        <v>80.472999999999999</v>
      </c>
      <c r="L650">
        <v>78.409000000000006</v>
      </c>
      <c r="M650">
        <v>64.706000000000003</v>
      </c>
      <c r="N650">
        <v>65.216999999999999</v>
      </c>
      <c r="O650">
        <v>65.216999999999999</v>
      </c>
      <c r="P650">
        <v>64.706000000000003</v>
      </c>
      <c r="Q650">
        <v>65.216999999999999</v>
      </c>
      <c r="R650">
        <v>65.216999999999999</v>
      </c>
      <c r="S650">
        <v>20</v>
      </c>
      <c r="T650">
        <v>8.3330000000000002</v>
      </c>
      <c r="U650">
        <v>0</v>
      </c>
      <c r="V650">
        <f t="shared" si="30"/>
        <v>58.372</v>
      </c>
      <c r="W650">
        <f t="shared" si="31"/>
        <v>54.809999999999995</v>
      </c>
      <c r="X650">
        <f t="shared" si="32"/>
        <v>52.210750000000004</v>
      </c>
      <c r="Y650">
        <v>13</v>
      </c>
      <c r="Z650" s="2" t="s">
        <v>241</v>
      </c>
    </row>
    <row r="651" spans="1:26" x14ac:dyDescent="0.25">
      <c r="A651">
        <v>517</v>
      </c>
      <c r="B651">
        <v>735</v>
      </c>
      <c r="C651" t="s">
        <v>22</v>
      </c>
      <c r="D651" t="s">
        <v>239</v>
      </c>
      <c r="E651" t="s">
        <v>30</v>
      </c>
      <c r="F651" t="s">
        <v>614</v>
      </c>
      <c r="G651" t="str">
        <f>VLOOKUP(F651,Hospitals!E:H,4,FALSE)</f>
        <v>29.8035 , 76.41603</v>
      </c>
      <c r="H651" s="1">
        <v>45384</v>
      </c>
      <c r="I651" s="1">
        <v>45384</v>
      </c>
      <c r="J651">
        <v>84.075999999999993</v>
      </c>
      <c r="K651">
        <v>80.472999999999999</v>
      </c>
      <c r="L651">
        <v>78.409000000000006</v>
      </c>
      <c r="M651">
        <v>64.706000000000003</v>
      </c>
      <c r="N651">
        <v>65.216999999999999</v>
      </c>
      <c r="O651">
        <v>65.216999999999999</v>
      </c>
      <c r="P651">
        <v>64.706000000000003</v>
      </c>
      <c r="Q651">
        <v>65.216999999999999</v>
      </c>
      <c r="R651">
        <v>65.216999999999999</v>
      </c>
      <c r="S651">
        <v>20</v>
      </c>
      <c r="T651">
        <v>8.3330000000000002</v>
      </c>
      <c r="U651">
        <v>0</v>
      </c>
      <c r="V651">
        <f t="shared" si="30"/>
        <v>58.372</v>
      </c>
      <c r="W651">
        <f t="shared" si="31"/>
        <v>54.809999999999995</v>
      </c>
      <c r="X651">
        <f t="shared" si="32"/>
        <v>52.210750000000004</v>
      </c>
      <c r="Y651">
        <v>13</v>
      </c>
      <c r="Z651" s="2" t="s">
        <v>241</v>
      </c>
    </row>
    <row r="652" spans="1:26" x14ac:dyDescent="0.25">
      <c r="A652">
        <v>1023</v>
      </c>
      <c r="B652">
        <v>736</v>
      </c>
      <c r="C652" t="s">
        <v>22</v>
      </c>
      <c r="D652" t="s">
        <v>239</v>
      </c>
      <c r="E652" t="s">
        <v>30</v>
      </c>
      <c r="F652" t="s">
        <v>615</v>
      </c>
      <c r="G652" t="str">
        <f>VLOOKUP(F652,Hospitals!E:H,4,FALSE)</f>
        <v>29.80499 , 76.40545</v>
      </c>
      <c r="H652" s="1">
        <v>45547</v>
      </c>
      <c r="I652" s="1">
        <v>45547</v>
      </c>
      <c r="J652">
        <v>98.725999999999999</v>
      </c>
      <c r="K652">
        <v>98.224999999999994</v>
      </c>
      <c r="L652">
        <v>97.727000000000004</v>
      </c>
      <c r="M652">
        <v>88.234999999999999</v>
      </c>
      <c r="N652">
        <v>91.304000000000002</v>
      </c>
      <c r="O652">
        <v>91.304000000000002</v>
      </c>
      <c r="P652">
        <v>88.234999999999999</v>
      </c>
      <c r="Q652">
        <v>91.304000000000002</v>
      </c>
      <c r="R652">
        <v>91.304000000000002</v>
      </c>
      <c r="S652">
        <v>0</v>
      </c>
      <c r="T652">
        <v>0</v>
      </c>
      <c r="U652">
        <v>0</v>
      </c>
      <c r="V652">
        <f t="shared" si="30"/>
        <v>68.799000000000007</v>
      </c>
      <c r="W652">
        <f t="shared" si="31"/>
        <v>70.208249999999992</v>
      </c>
      <c r="X652">
        <f t="shared" si="32"/>
        <v>70.083750000000009</v>
      </c>
      <c r="Y652">
        <v>13</v>
      </c>
      <c r="Z652" s="2" t="s">
        <v>241</v>
      </c>
    </row>
    <row r="653" spans="1:26" x14ac:dyDescent="0.25">
      <c r="A653">
        <v>1024</v>
      </c>
      <c r="B653">
        <v>736</v>
      </c>
      <c r="C653" t="s">
        <v>22</v>
      </c>
      <c r="D653" t="s">
        <v>239</v>
      </c>
      <c r="E653" t="s">
        <v>30</v>
      </c>
      <c r="F653" t="s">
        <v>615</v>
      </c>
      <c r="G653" t="str">
        <f>VLOOKUP(F653,Hospitals!E:H,4,FALSE)</f>
        <v>29.80499 , 76.40545</v>
      </c>
      <c r="H653" s="1">
        <v>45547</v>
      </c>
      <c r="I653" s="1">
        <v>45547</v>
      </c>
      <c r="J653">
        <v>98.725999999999999</v>
      </c>
      <c r="K653">
        <v>98.224999999999994</v>
      </c>
      <c r="L653">
        <v>97.727000000000004</v>
      </c>
      <c r="M653">
        <v>88.234999999999999</v>
      </c>
      <c r="N653">
        <v>91.304000000000002</v>
      </c>
      <c r="O653">
        <v>91.304000000000002</v>
      </c>
      <c r="P653">
        <v>88.234999999999999</v>
      </c>
      <c r="Q653">
        <v>91.304000000000002</v>
      </c>
      <c r="R653">
        <v>91.304000000000002</v>
      </c>
      <c r="S653">
        <v>0</v>
      </c>
      <c r="T653">
        <v>0</v>
      </c>
      <c r="U653">
        <v>0</v>
      </c>
      <c r="V653">
        <f t="shared" si="30"/>
        <v>68.799000000000007</v>
      </c>
      <c r="W653">
        <f t="shared" si="31"/>
        <v>70.208249999999992</v>
      </c>
      <c r="X653">
        <f t="shared" si="32"/>
        <v>70.083750000000009</v>
      </c>
      <c r="Y653">
        <v>13</v>
      </c>
      <c r="Z653" s="2" t="s">
        <v>241</v>
      </c>
    </row>
    <row r="654" spans="1:26" x14ac:dyDescent="0.25">
      <c r="A654">
        <v>690</v>
      </c>
      <c r="B654">
        <v>737</v>
      </c>
      <c r="C654" t="s">
        <v>22</v>
      </c>
      <c r="D654" t="s">
        <v>239</v>
      </c>
      <c r="E654" t="s">
        <v>30</v>
      </c>
      <c r="F654" t="s">
        <v>616</v>
      </c>
      <c r="G654" t="str">
        <f>VLOOKUP(F654,Hospitals!E:H,4,FALSE)</f>
        <v>29.77552 , 76.41003</v>
      </c>
      <c r="H654" s="1">
        <v>45418</v>
      </c>
      <c r="I654" s="1">
        <v>45418</v>
      </c>
      <c r="J654">
        <v>67.516000000000005</v>
      </c>
      <c r="K654">
        <v>69.230999999999995</v>
      </c>
      <c r="L654">
        <v>69.885999999999996</v>
      </c>
      <c r="M654">
        <v>82.352999999999994</v>
      </c>
      <c r="N654">
        <v>78.260999999999996</v>
      </c>
      <c r="O654">
        <v>78.260999999999996</v>
      </c>
      <c r="P654">
        <v>82.352999999999994</v>
      </c>
      <c r="Q654">
        <v>78.260999999999996</v>
      </c>
      <c r="R654">
        <v>78.260999999999996</v>
      </c>
      <c r="S654">
        <v>20</v>
      </c>
      <c r="T654">
        <v>16.667000000000002</v>
      </c>
      <c r="U654">
        <v>7.1429999999999998</v>
      </c>
      <c r="V654">
        <f t="shared" si="30"/>
        <v>63.055499999999995</v>
      </c>
      <c r="W654">
        <f t="shared" si="31"/>
        <v>60.604999999999997</v>
      </c>
      <c r="X654">
        <f t="shared" si="32"/>
        <v>58.387749999999997</v>
      </c>
      <c r="Y654">
        <v>13</v>
      </c>
      <c r="Z654" s="2" t="s">
        <v>241</v>
      </c>
    </row>
    <row r="655" spans="1:26" x14ac:dyDescent="0.25">
      <c r="A655">
        <v>402</v>
      </c>
      <c r="B655">
        <v>737</v>
      </c>
      <c r="C655" t="s">
        <v>22</v>
      </c>
      <c r="D655" t="s">
        <v>239</v>
      </c>
      <c r="E655" t="s">
        <v>30</v>
      </c>
      <c r="F655" t="s">
        <v>616</v>
      </c>
      <c r="G655" t="str">
        <f>VLOOKUP(F655,Hospitals!E:H,4,FALSE)</f>
        <v>29.77552 , 76.41003</v>
      </c>
      <c r="H655" s="1">
        <v>45368</v>
      </c>
      <c r="I655" t="s">
        <v>35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f t="shared" si="30"/>
        <v>0</v>
      </c>
      <c r="W655">
        <f t="shared" si="31"/>
        <v>0</v>
      </c>
      <c r="X655">
        <f t="shared" si="32"/>
        <v>0</v>
      </c>
      <c r="Y655">
        <v>13</v>
      </c>
      <c r="Z655" s="2" t="s">
        <v>241</v>
      </c>
    </row>
    <row r="656" spans="1:26" x14ac:dyDescent="0.25">
      <c r="A656">
        <v>515</v>
      </c>
      <c r="B656">
        <v>738</v>
      </c>
      <c r="C656" t="s">
        <v>22</v>
      </c>
      <c r="D656" t="s">
        <v>239</v>
      </c>
      <c r="E656" t="s">
        <v>30</v>
      </c>
      <c r="F656" t="s">
        <v>617</v>
      </c>
      <c r="G656" t="str">
        <f>VLOOKUP(F656,Hospitals!E:H,4,FALSE)</f>
        <v>29.81078 , 76.42159</v>
      </c>
      <c r="H656" s="1">
        <v>45384</v>
      </c>
      <c r="I656" s="1">
        <v>45384</v>
      </c>
      <c r="J656">
        <v>98.088999999999999</v>
      </c>
      <c r="K656">
        <v>97.632999999999996</v>
      </c>
      <c r="L656">
        <v>96.590999999999994</v>
      </c>
      <c r="M656">
        <v>88.234999999999999</v>
      </c>
      <c r="N656">
        <v>86.956999999999994</v>
      </c>
      <c r="O656">
        <v>86.956999999999994</v>
      </c>
      <c r="P656">
        <v>88.234999999999999</v>
      </c>
      <c r="Q656">
        <v>86.956999999999994</v>
      </c>
      <c r="R656">
        <v>86.956999999999994</v>
      </c>
      <c r="S656">
        <v>50</v>
      </c>
      <c r="T656">
        <v>33.332999999999998</v>
      </c>
      <c r="U656">
        <v>14.286</v>
      </c>
      <c r="V656">
        <f t="shared" si="30"/>
        <v>81.139750000000006</v>
      </c>
      <c r="W656">
        <f t="shared" si="31"/>
        <v>76.22</v>
      </c>
      <c r="X656">
        <f t="shared" si="32"/>
        <v>71.197749999999999</v>
      </c>
      <c r="Y656">
        <v>13</v>
      </c>
      <c r="Z656" s="2" t="s">
        <v>241</v>
      </c>
    </row>
    <row r="657" spans="1:26" x14ac:dyDescent="0.25">
      <c r="A657">
        <v>669</v>
      </c>
      <c r="B657">
        <v>739</v>
      </c>
      <c r="C657" t="s">
        <v>22</v>
      </c>
      <c r="D657" t="s">
        <v>239</v>
      </c>
      <c r="E657" t="s">
        <v>30</v>
      </c>
      <c r="F657" t="s">
        <v>618</v>
      </c>
      <c r="G657" t="str">
        <f>VLOOKUP(F657,Hospitals!E:H,4,FALSE)</f>
        <v>29.80837 , 76.39844</v>
      </c>
      <c r="H657" s="1">
        <v>45527</v>
      </c>
      <c r="I657" s="1">
        <v>45527</v>
      </c>
      <c r="J657">
        <v>70.700999999999993</v>
      </c>
      <c r="K657">
        <v>68.046999999999997</v>
      </c>
      <c r="L657">
        <v>65.340999999999994</v>
      </c>
      <c r="M657">
        <v>88.234999999999999</v>
      </c>
      <c r="N657">
        <v>78.260999999999996</v>
      </c>
      <c r="O657">
        <v>78.260999999999996</v>
      </c>
      <c r="P657">
        <v>88.234999999999999</v>
      </c>
      <c r="Q657">
        <v>78.260999999999996</v>
      </c>
      <c r="R657">
        <v>78.260999999999996</v>
      </c>
      <c r="S657">
        <v>0</v>
      </c>
      <c r="T657">
        <v>0</v>
      </c>
      <c r="U657">
        <v>0</v>
      </c>
      <c r="V657">
        <f t="shared" si="30"/>
        <v>61.792749999999998</v>
      </c>
      <c r="W657">
        <f t="shared" si="31"/>
        <v>56.142249999999997</v>
      </c>
      <c r="X657">
        <f t="shared" si="32"/>
        <v>55.465749999999993</v>
      </c>
      <c r="Y657">
        <v>13</v>
      </c>
      <c r="Z657" s="2" t="s">
        <v>241</v>
      </c>
    </row>
    <row r="658" spans="1:26" x14ac:dyDescent="0.25">
      <c r="A658">
        <v>1142</v>
      </c>
      <c r="B658">
        <v>74</v>
      </c>
      <c r="C658" t="s">
        <v>22</v>
      </c>
      <c r="D658" t="s">
        <v>29</v>
      </c>
      <c r="E658" t="s">
        <v>27</v>
      </c>
      <c r="F658" t="s">
        <v>619</v>
      </c>
      <c r="G658" t="str">
        <f>VLOOKUP(F658,Hospitals!E:H,4,FALSE)</f>
        <v>28.38129 , 76.95585</v>
      </c>
      <c r="H658" s="1">
        <v>45684</v>
      </c>
      <c r="I658" s="1">
        <v>45684</v>
      </c>
      <c r="J658">
        <v>26.751999999999999</v>
      </c>
      <c r="K658">
        <v>24.852</v>
      </c>
      <c r="L658">
        <v>23.864000000000001</v>
      </c>
      <c r="M658">
        <v>17.646999999999998</v>
      </c>
      <c r="N658">
        <v>13.042999999999999</v>
      </c>
      <c r="O658">
        <v>13.042999999999999</v>
      </c>
      <c r="P658">
        <v>17.646999999999998</v>
      </c>
      <c r="Q658">
        <v>13.042999999999999</v>
      </c>
      <c r="R658">
        <v>13.042999999999999</v>
      </c>
      <c r="S658">
        <v>0</v>
      </c>
      <c r="T658">
        <v>0</v>
      </c>
      <c r="U658">
        <v>0</v>
      </c>
      <c r="V658">
        <f t="shared" si="30"/>
        <v>15.5115</v>
      </c>
      <c r="W658">
        <f t="shared" si="31"/>
        <v>12.734499999999999</v>
      </c>
      <c r="X658">
        <f t="shared" si="32"/>
        <v>12.487499999999999</v>
      </c>
      <c r="Y658">
        <v>13</v>
      </c>
      <c r="Z658" s="2" t="s">
        <v>31</v>
      </c>
    </row>
    <row r="659" spans="1:26" x14ac:dyDescent="0.25">
      <c r="A659">
        <v>395</v>
      </c>
      <c r="B659">
        <v>740</v>
      </c>
      <c r="C659" t="s">
        <v>22</v>
      </c>
      <c r="D659" t="s">
        <v>239</v>
      </c>
      <c r="E659" t="s">
        <v>30</v>
      </c>
      <c r="F659" t="s">
        <v>620</v>
      </c>
      <c r="G659" t="str">
        <f>VLOOKUP(F659,Hospitals!E:H,4,FALSE)</f>
        <v>29.7934 , 76.4222</v>
      </c>
      <c r="H659" s="1">
        <v>45367</v>
      </c>
      <c r="I659" s="1">
        <v>45367</v>
      </c>
      <c r="J659">
        <v>24.204000000000001</v>
      </c>
      <c r="K659">
        <v>22.484999999999999</v>
      </c>
      <c r="L659">
        <v>21.591000000000001</v>
      </c>
      <c r="M659">
        <v>64.706000000000003</v>
      </c>
      <c r="N659">
        <v>52.173999999999999</v>
      </c>
      <c r="O659">
        <v>52.173999999999999</v>
      </c>
      <c r="P659">
        <v>64.706000000000003</v>
      </c>
      <c r="Q659">
        <v>52.173999999999999</v>
      </c>
      <c r="R659">
        <v>52.173999999999999</v>
      </c>
      <c r="S659">
        <v>10</v>
      </c>
      <c r="T659">
        <v>8.3330000000000002</v>
      </c>
      <c r="U659">
        <v>0</v>
      </c>
      <c r="V659">
        <f t="shared" si="30"/>
        <v>40.903999999999996</v>
      </c>
      <c r="W659">
        <f t="shared" si="31"/>
        <v>33.791499999999999</v>
      </c>
      <c r="X659">
        <f t="shared" si="32"/>
        <v>31.484749999999998</v>
      </c>
      <c r="Y659">
        <v>13</v>
      </c>
      <c r="Z659" s="2" t="s">
        <v>241</v>
      </c>
    </row>
    <row r="660" spans="1:26" x14ac:dyDescent="0.25">
      <c r="A660">
        <v>849</v>
      </c>
      <c r="B660">
        <v>741</v>
      </c>
      <c r="C660" t="s">
        <v>22</v>
      </c>
      <c r="D660" t="s">
        <v>239</v>
      </c>
      <c r="E660" t="s">
        <v>30</v>
      </c>
      <c r="F660" t="s">
        <v>621</v>
      </c>
      <c r="G660" t="str">
        <f>VLOOKUP(F660,Hospitals!E:H,4,FALSE)</f>
        <v>29.80146 , 76.41571</v>
      </c>
      <c r="H660" s="1">
        <v>45469</v>
      </c>
      <c r="I660" s="1">
        <v>45469</v>
      </c>
      <c r="J660">
        <v>63.694000000000003</v>
      </c>
      <c r="K660">
        <v>62.13</v>
      </c>
      <c r="L660">
        <v>60.226999999999997</v>
      </c>
      <c r="M660">
        <v>64.706000000000003</v>
      </c>
      <c r="N660">
        <v>65.216999999999999</v>
      </c>
      <c r="O660">
        <v>65.216999999999999</v>
      </c>
      <c r="P660">
        <v>64.706000000000003</v>
      </c>
      <c r="Q660">
        <v>65.216999999999999</v>
      </c>
      <c r="R660">
        <v>65.216999999999999</v>
      </c>
      <c r="S660">
        <v>10</v>
      </c>
      <c r="T660">
        <v>0</v>
      </c>
      <c r="U660">
        <v>0</v>
      </c>
      <c r="V660">
        <f t="shared" si="30"/>
        <v>50.776499999999999</v>
      </c>
      <c r="W660">
        <f t="shared" si="31"/>
        <v>48.141000000000005</v>
      </c>
      <c r="X660">
        <f t="shared" si="32"/>
        <v>47.66525</v>
      </c>
      <c r="Y660">
        <v>13</v>
      </c>
      <c r="Z660" s="2" t="s">
        <v>241</v>
      </c>
    </row>
    <row r="661" spans="1:26" x14ac:dyDescent="0.25">
      <c r="A661">
        <v>562</v>
      </c>
      <c r="B661">
        <v>743</v>
      </c>
      <c r="C661" t="s">
        <v>22</v>
      </c>
      <c r="D661" t="s">
        <v>239</v>
      </c>
      <c r="E661" t="s">
        <v>77</v>
      </c>
      <c r="F661" t="s">
        <v>622</v>
      </c>
      <c r="G661" t="str">
        <f>VLOOKUP(F661,Hospitals!E:H,4,FALSE)</f>
        <v>29.77552 , 76.41003</v>
      </c>
      <c r="H661" s="1">
        <v>45387</v>
      </c>
      <c r="I661" s="1">
        <v>45387</v>
      </c>
      <c r="J661">
        <v>98.088999999999999</v>
      </c>
      <c r="K661">
        <v>98.224999999999994</v>
      </c>
      <c r="L661">
        <v>98.295000000000002</v>
      </c>
      <c r="M661">
        <v>70.587999999999994</v>
      </c>
      <c r="N661">
        <v>60.87</v>
      </c>
      <c r="O661">
        <v>60.87</v>
      </c>
      <c r="P661">
        <v>70.587999999999994</v>
      </c>
      <c r="Q661">
        <v>60.87</v>
      </c>
      <c r="R661">
        <v>60.87</v>
      </c>
      <c r="S661">
        <v>10</v>
      </c>
      <c r="T661">
        <v>8.3330000000000002</v>
      </c>
      <c r="U661">
        <v>0</v>
      </c>
      <c r="V661">
        <f t="shared" si="30"/>
        <v>62.316249999999997</v>
      </c>
      <c r="W661">
        <f t="shared" si="31"/>
        <v>57.0745</v>
      </c>
      <c r="X661">
        <f t="shared" si="32"/>
        <v>55.008749999999999</v>
      </c>
      <c r="Y661">
        <v>13</v>
      </c>
      <c r="Z661" s="2" t="s">
        <v>241</v>
      </c>
    </row>
    <row r="662" spans="1:26" x14ac:dyDescent="0.25">
      <c r="A662">
        <v>922</v>
      </c>
      <c r="B662">
        <v>744</v>
      </c>
      <c r="C662" t="s">
        <v>22</v>
      </c>
      <c r="D662" t="s">
        <v>23</v>
      </c>
      <c r="E662" t="s">
        <v>30</v>
      </c>
      <c r="F662" t="s">
        <v>623</v>
      </c>
      <c r="G662" t="str">
        <f>VLOOKUP(F662,Hospitals!E:H,4,FALSE)</f>
        <v>30.39078 , 76.76827</v>
      </c>
      <c r="H662" s="1">
        <v>45504</v>
      </c>
      <c r="I662" s="1">
        <v>45504</v>
      </c>
      <c r="J662">
        <v>41.401000000000003</v>
      </c>
      <c r="K662">
        <v>40.828000000000003</v>
      </c>
      <c r="L662">
        <v>39.773000000000003</v>
      </c>
      <c r="M662">
        <v>29.411999999999999</v>
      </c>
      <c r="N662">
        <v>39.130000000000003</v>
      </c>
      <c r="O662">
        <v>39.130000000000003</v>
      </c>
      <c r="P662">
        <v>29.411999999999999</v>
      </c>
      <c r="Q662">
        <v>39.130000000000003</v>
      </c>
      <c r="R662">
        <v>39.130000000000003</v>
      </c>
      <c r="S662">
        <v>30</v>
      </c>
      <c r="T662">
        <v>16.667000000000002</v>
      </c>
      <c r="U662">
        <v>0</v>
      </c>
      <c r="V662">
        <f t="shared" si="30"/>
        <v>32.556249999999999</v>
      </c>
      <c r="W662">
        <f t="shared" si="31"/>
        <v>33.938749999999999</v>
      </c>
      <c r="X662">
        <f t="shared" si="32"/>
        <v>29.508250000000004</v>
      </c>
      <c r="Y662">
        <v>13</v>
      </c>
      <c r="Z662" s="2" t="s">
        <v>26</v>
      </c>
    </row>
    <row r="663" spans="1:26" x14ac:dyDescent="0.25">
      <c r="A663">
        <v>848</v>
      </c>
      <c r="B663">
        <v>745</v>
      </c>
      <c r="C663" t="s">
        <v>22</v>
      </c>
      <c r="D663" t="s">
        <v>23</v>
      </c>
      <c r="E663" t="s">
        <v>30</v>
      </c>
      <c r="F663" t="s">
        <v>624</v>
      </c>
      <c r="G663" t="str">
        <f>VLOOKUP(F663,Hospitals!E:H,4,FALSE)</f>
        <v>30.33444 , 76.8754</v>
      </c>
      <c r="H663" s="1">
        <v>45470</v>
      </c>
      <c r="I663" s="1">
        <v>45470</v>
      </c>
      <c r="J663">
        <v>61.783000000000001</v>
      </c>
      <c r="K663">
        <v>60.947000000000003</v>
      </c>
      <c r="L663">
        <v>58.523000000000003</v>
      </c>
      <c r="M663">
        <v>100</v>
      </c>
      <c r="N663">
        <v>91.304000000000002</v>
      </c>
      <c r="O663">
        <v>91.304000000000002</v>
      </c>
      <c r="P663">
        <v>100</v>
      </c>
      <c r="Q663">
        <v>91.304000000000002</v>
      </c>
      <c r="R663">
        <v>91.304000000000002</v>
      </c>
      <c r="S663">
        <v>20</v>
      </c>
      <c r="T663">
        <v>0</v>
      </c>
      <c r="U663">
        <v>7.1429999999999998</v>
      </c>
      <c r="V663">
        <f t="shared" si="30"/>
        <v>70.445750000000004</v>
      </c>
      <c r="W663">
        <f t="shared" si="31"/>
        <v>60.888750000000002</v>
      </c>
      <c r="X663">
        <f t="shared" si="32"/>
        <v>62.0685</v>
      </c>
      <c r="Y663">
        <v>13</v>
      </c>
      <c r="Z663" s="2" t="s">
        <v>26</v>
      </c>
    </row>
    <row r="664" spans="1:26" x14ac:dyDescent="0.25">
      <c r="A664">
        <v>519</v>
      </c>
      <c r="B664">
        <v>746</v>
      </c>
      <c r="C664" t="s">
        <v>22</v>
      </c>
      <c r="D664" t="s">
        <v>239</v>
      </c>
      <c r="E664" t="s">
        <v>24</v>
      </c>
      <c r="F664" t="s">
        <v>625</v>
      </c>
      <c r="G664" t="str">
        <f>VLOOKUP(F664,Hospitals!E:H,4,FALSE)</f>
        <v>29.92715 , 76.34057</v>
      </c>
      <c r="H664" s="1">
        <v>45401</v>
      </c>
      <c r="I664" s="1">
        <v>45401</v>
      </c>
      <c r="J664">
        <v>59.872999999999998</v>
      </c>
      <c r="K664">
        <v>57.396000000000001</v>
      </c>
      <c r="L664">
        <v>56.25</v>
      </c>
      <c r="M664">
        <v>41.176000000000002</v>
      </c>
      <c r="N664">
        <v>30.434999999999999</v>
      </c>
      <c r="O664">
        <v>30.434999999999999</v>
      </c>
      <c r="P664">
        <v>41.176000000000002</v>
      </c>
      <c r="Q664">
        <v>30.434999999999999</v>
      </c>
      <c r="R664">
        <v>30.434999999999999</v>
      </c>
      <c r="S664">
        <v>10</v>
      </c>
      <c r="T664">
        <v>8.3330000000000002</v>
      </c>
      <c r="U664">
        <v>0</v>
      </c>
      <c r="V664">
        <f t="shared" si="30"/>
        <v>38.056250000000006</v>
      </c>
      <c r="W664">
        <f t="shared" si="31"/>
        <v>31.649750000000001</v>
      </c>
      <c r="X664">
        <f t="shared" si="32"/>
        <v>29.28</v>
      </c>
      <c r="Y664">
        <v>13</v>
      </c>
      <c r="Z664" s="2" t="s">
        <v>241</v>
      </c>
    </row>
    <row r="665" spans="1:26" x14ac:dyDescent="0.25">
      <c r="A665">
        <v>1153</v>
      </c>
      <c r="B665">
        <v>747</v>
      </c>
      <c r="C665" t="s">
        <v>22</v>
      </c>
      <c r="D665" t="s">
        <v>42</v>
      </c>
      <c r="E665" t="s">
        <v>30</v>
      </c>
      <c r="F665" t="s">
        <v>626</v>
      </c>
      <c r="G665" t="str">
        <f>VLOOKUP(F665,Hospitals!E:H,4,FALSE)</f>
        <v>29.50431 , 75.46798</v>
      </c>
      <c r="H665" s="1">
        <v>45684</v>
      </c>
      <c r="I665" t="s">
        <v>35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f t="shared" si="30"/>
        <v>0</v>
      </c>
      <c r="W665">
        <f t="shared" si="31"/>
        <v>0</v>
      </c>
      <c r="X665">
        <f t="shared" si="32"/>
        <v>0</v>
      </c>
      <c r="Y665">
        <v>13</v>
      </c>
      <c r="Z665" s="2" t="s">
        <v>44</v>
      </c>
    </row>
    <row r="666" spans="1:26" x14ac:dyDescent="0.25">
      <c r="A666">
        <v>1154</v>
      </c>
      <c r="B666">
        <v>748</v>
      </c>
      <c r="C666" t="s">
        <v>22</v>
      </c>
      <c r="D666" t="s">
        <v>42</v>
      </c>
      <c r="E666" t="s">
        <v>30</v>
      </c>
      <c r="F666" t="s">
        <v>627</v>
      </c>
      <c r="G666" t="e">
        <f>VLOOKUP(F666,Hospitals!E:H,4,FALSE)</f>
        <v>#N/A</v>
      </c>
      <c r="H666" s="1">
        <v>45686</v>
      </c>
      <c r="I666" t="s">
        <v>35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f t="shared" si="30"/>
        <v>0</v>
      </c>
      <c r="W666">
        <f t="shared" si="31"/>
        <v>0</v>
      </c>
      <c r="X666">
        <f t="shared" si="32"/>
        <v>0</v>
      </c>
      <c r="Y666">
        <v>13</v>
      </c>
      <c r="Z666" s="2" t="s">
        <v>44</v>
      </c>
    </row>
    <row r="667" spans="1:26" x14ac:dyDescent="0.25">
      <c r="A667">
        <v>501</v>
      </c>
      <c r="B667">
        <v>75</v>
      </c>
      <c r="C667" t="s">
        <v>22</v>
      </c>
      <c r="D667" t="s">
        <v>29</v>
      </c>
      <c r="E667" t="s">
        <v>30</v>
      </c>
      <c r="F667" t="s">
        <v>628</v>
      </c>
      <c r="G667" t="str">
        <f>VLOOKUP(F667,Hospitals!E:H,4,FALSE)</f>
        <v>28.451 , 76.97582</v>
      </c>
      <c r="H667" s="1">
        <v>45469</v>
      </c>
      <c r="I667" t="s">
        <v>35</v>
      </c>
      <c r="J667">
        <v>93.631</v>
      </c>
      <c r="K667">
        <v>93.491</v>
      </c>
      <c r="L667">
        <v>93.75</v>
      </c>
      <c r="M667">
        <v>100</v>
      </c>
      <c r="N667">
        <v>100</v>
      </c>
      <c r="O667">
        <v>100</v>
      </c>
      <c r="P667">
        <v>100</v>
      </c>
      <c r="Q667">
        <v>100</v>
      </c>
      <c r="R667">
        <v>100</v>
      </c>
      <c r="S667">
        <v>50</v>
      </c>
      <c r="T667">
        <v>41.667000000000002</v>
      </c>
      <c r="U667">
        <v>28.571000000000002</v>
      </c>
      <c r="V667">
        <f t="shared" si="30"/>
        <v>85.907749999999993</v>
      </c>
      <c r="W667">
        <f t="shared" si="31"/>
        <v>83.789500000000004</v>
      </c>
      <c r="X667">
        <f t="shared" si="32"/>
        <v>80.580250000000007</v>
      </c>
      <c r="Y667">
        <v>13</v>
      </c>
      <c r="Z667" s="2" t="s">
        <v>31</v>
      </c>
    </row>
    <row r="668" spans="1:26" x14ac:dyDescent="0.25">
      <c r="A668">
        <v>481</v>
      </c>
      <c r="B668">
        <v>754</v>
      </c>
      <c r="C668" t="s">
        <v>22</v>
      </c>
      <c r="D668" t="s">
        <v>298</v>
      </c>
      <c r="E668" t="s">
        <v>77</v>
      </c>
      <c r="F668" t="s">
        <v>629</v>
      </c>
      <c r="G668" t="str">
        <f>VLOOKUP(F668,Hospitals!E:H,4,FALSE)</f>
        <v>29.9652 , 76.82146</v>
      </c>
      <c r="H668" s="1">
        <v>45573</v>
      </c>
      <c r="I668" s="1">
        <v>45573</v>
      </c>
      <c r="J668">
        <v>30.573</v>
      </c>
      <c r="K668">
        <v>28.402000000000001</v>
      </c>
      <c r="L668">
        <v>27.273</v>
      </c>
      <c r="M668">
        <v>11.765000000000001</v>
      </c>
      <c r="N668">
        <v>8.6959999999999997</v>
      </c>
      <c r="O668">
        <v>8.6959999999999997</v>
      </c>
      <c r="P668">
        <v>11.765000000000001</v>
      </c>
      <c r="Q668">
        <v>8.6959999999999997</v>
      </c>
      <c r="R668">
        <v>8.6959999999999997</v>
      </c>
      <c r="S668">
        <v>10</v>
      </c>
      <c r="T668">
        <v>8.3330000000000002</v>
      </c>
      <c r="U668">
        <v>0</v>
      </c>
      <c r="V668">
        <f t="shared" si="30"/>
        <v>16.025750000000002</v>
      </c>
      <c r="W668">
        <f t="shared" si="31"/>
        <v>13.531749999999999</v>
      </c>
      <c r="X668">
        <f t="shared" si="32"/>
        <v>11.16625</v>
      </c>
      <c r="Y668">
        <v>13</v>
      </c>
      <c r="Z668" s="2" t="s">
        <v>300</v>
      </c>
    </row>
    <row r="669" spans="1:26" x14ac:dyDescent="0.25">
      <c r="A669">
        <v>1344</v>
      </c>
      <c r="B669">
        <v>755</v>
      </c>
      <c r="C669" t="s">
        <v>22</v>
      </c>
      <c r="D669" t="s">
        <v>195</v>
      </c>
      <c r="E669" t="s">
        <v>30</v>
      </c>
      <c r="F669" t="s">
        <v>630</v>
      </c>
      <c r="G669" t="str">
        <f>VLOOKUP(F669,Hospitals!E:H,4,FALSE)</f>
        <v>30.4623 , 77.123</v>
      </c>
      <c r="H669" s="1">
        <v>46046</v>
      </c>
      <c r="I669" s="1">
        <v>46046</v>
      </c>
      <c r="J669">
        <v>81.528999999999996</v>
      </c>
      <c r="K669">
        <v>78.106999999999999</v>
      </c>
      <c r="L669">
        <v>75</v>
      </c>
      <c r="M669">
        <v>76.471000000000004</v>
      </c>
      <c r="N669">
        <v>65.216999999999999</v>
      </c>
      <c r="O669">
        <v>65.216999999999999</v>
      </c>
      <c r="P669">
        <v>76.471000000000004</v>
      </c>
      <c r="Q669">
        <v>65.216999999999999</v>
      </c>
      <c r="R669">
        <v>65.216999999999999</v>
      </c>
      <c r="S669">
        <v>10</v>
      </c>
      <c r="T669">
        <v>0</v>
      </c>
      <c r="U669">
        <v>0</v>
      </c>
      <c r="V669">
        <f t="shared" si="30"/>
        <v>61.117750000000001</v>
      </c>
      <c r="W669">
        <f t="shared" si="31"/>
        <v>52.135249999999999</v>
      </c>
      <c r="X669">
        <f t="shared" si="32"/>
        <v>51.358499999999992</v>
      </c>
      <c r="Y669">
        <v>13</v>
      </c>
      <c r="Z669" s="2" t="s">
        <v>197</v>
      </c>
    </row>
    <row r="670" spans="1:26" x14ac:dyDescent="0.25">
      <c r="A670">
        <v>364</v>
      </c>
      <c r="B670">
        <v>767</v>
      </c>
      <c r="C670" t="s">
        <v>22</v>
      </c>
      <c r="D670" t="s">
        <v>367</v>
      </c>
      <c r="E670" t="s">
        <v>30</v>
      </c>
      <c r="F670" t="s">
        <v>631</v>
      </c>
      <c r="G670" t="str">
        <f>VLOOKUP(F670,Hospitals!E:H,4,FALSE)</f>
        <v>28.68627 , 77.22178</v>
      </c>
      <c r="H670" s="1">
        <v>45364</v>
      </c>
      <c r="I670" s="1">
        <v>45364</v>
      </c>
      <c r="J670">
        <v>87.260999999999996</v>
      </c>
      <c r="K670">
        <v>86.391000000000005</v>
      </c>
      <c r="L670">
        <v>83.522999999999996</v>
      </c>
      <c r="M670">
        <v>64.706000000000003</v>
      </c>
      <c r="N670">
        <v>69.564999999999998</v>
      </c>
      <c r="O670">
        <v>69.564999999999998</v>
      </c>
      <c r="P670">
        <v>64.706000000000003</v>
      </c>
      <c r="Q670">
        <v>69.564999999999998</v>
      </c>
      <c r="R670">
        <v>69.564999999999998</v>
      </c>
      <c r="S670">
        <v>30</v>
      </c>
      <c r="T670">
        <v>16.667000000000002</v>
      </c>
      <c r="U670">
        <v>7.1429999999999998</v>
      </c>
      <c r="V670">
        <f t="shared" si="30"/>
        <v>61.66825</v>
      </c>
      <c r="W670">
        <f t="shared" si="31"/>
        <v>60.547000000000004</v>
      </c>
      <c r="X670">
        <f t="shared" si="32"/>
        <v>57.448999999999998</v>
      </c>
      <c r="Y670">
        <v>13</v>
      </c>
      <c r="Z670" s="2" t="s">
        <v>369</v>
      </c>
    </row>
    <row r="671" spans="1:26" x14ac:dyDescent="0.25">
      <c r="A671">
        <v>483</v>
      </c>
      <c r="B671">
        <v>768</v>
      </c>
      <c r="C671" t="s">
        <v>22</v>
      </c>
      <c r="D671" t="s">
        <v>367</v>
      </c>
      <c r="E671" t="s">
        <v>632</v>
      </c>
      <c r="F671" t="s">
        <v>633</v>
      </c>
      <c r="G671" t="str">
        <f>VLOOKUP(F671,Hospitals!E:H,4,FALSE)</f>
        <v>12.99292 , 80.23025</v>
      </c>
      <c r="H671" s="1">
        <v>45427</v>
      </c>
      <c r="I671" s="1">
        <v>45427</v>
      </c>
      <c r="J671">
        <v>12.102</v>
      </c>
      <c r="K671">
        <v>11.243</v>
      </c>
      <c r="L671">
        <v>10.795</v>
      </c>
      <c r="M671">
        <v>23.529</v>
      </c>
      <c r="N671">
        <v>17.390999999999998</v>
      </c>
      <c r="O671">
        <v>17.390999999999998</v>
      </c>
      <c r="P671">
        <v>23.529</v>
      </c>
      <c r="Q671">
        <v>17.390999999999998</v>
      </c>
      <c r="R671">
        <v>17.390999999999998</v>
      </c>
      <c r="S671">
        <v>0</v>
      </c>
      <c r="T671">
        <v>0</v>
      </c>
      <c r="U671">
        <v>0</v>
      </c>
      <c r="V671">
        <f t="shared" si="30"/>
        <v>14.79</v>
      </c>
      <c r="W671">
        <f t="shared" si="31"/>
        <v>11.50625</v>
      </c>
      <c r="X671">
        <f t="shared" si="32"/>
        <v>11.39425</v>
      </c>
      <c r="Y671">
        <v>13</v>
      </c>
      <c r="Z671" s="2" t="s">
        <v>369</v>
      </c>
    </row>
    <row r="672" spans="1:26" x14ac:dyDescent="0.25">
      <c r="A672">
        <v>308</v>
      </c>
      <c r="B672">
        <v>77</v>
      </c>
      <c r="C672" t="s">
        <v>22</v>
      </c>
      <c r="D672" t="s">
        <v>29</v>
      </c>
      <c r="E672" t="s">
        <v>30</v>
      </c>
      <c r="F672" t="s">
        <v>634</v>
      </c>
      <c r="G672" t="e">
        <f>VLOOKUP(F672,Hospitals!E:H,4,FALSE)</f>
        <v>#N/A</v>
      </c>
      <c r="H672" s="1">
        <v>45377</v>
      </c>
      <c r="I672" t="s">
        <v>35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f t="shared" si="30"/>
        <v>0</v>
      </c>
      <c r="W672">
        <f t="shared" si="31"/>
        <v>0</v>
      </c>
      <c r="X672">
        <f t="shared" si="32"/>
        <v>0</v>
      </c>
      <c r="Y672">
        <v>13</v>
      </c>
      <c r="Z672" s="2" t="s">
        <v>31</v>
      </c>
    </row>
    <row r="673" spans="1:26" x14ac:dyDescent="0.25">
      <c r="A673">
        <v>548</v>
      </c>
      <c r="B673">
        <v>772</v>
      </c>
      <c r="C673" t="s">
        <v>22</v>
      </c>
      <c r="D673" t="s">
        <v>140</v>
      </c>
      <c r="E673" t="s">
        <v>30</v>
      </c>
      <c r="F673" t="s">
        <v>635</v>
      </c>
      <c r="G673" t="str">
        <f>VLOOKUP(F673,Hospitals!E:H,4,FALSE)</f>
        <v>30.16944 , 77.28908</v>
      </c>
      <c r="H673" s="1">
        <v>45383</v>
      </c>
      <c r="I673" t="s">
        <v>35</v>
      </c>
      <c r="J673">
        <v>12.739000000000001</v>
      </c>
      <c r="K673">
        <v>14.201000000000001</v>
      </c>
      <c r="L673">
        <v>14.205</v>
      </c>
      <c r="M673">
        <v>58.823999999999998</v>
      </c>
      <c r="N673">
        <v>56.521999999999998</v>
      </c>
      <c r="O673">
        <v>56.521999999999998</v>
      </c>
      <c r="P673">
        <v>58.823999999999998</v>
      </c>
      <c r="Q673">
        <v>56.521999999999998</v>
      </c>
      <c r="R673">
        <v>56.521999999999998</v>
      </c>
      <c r="S673">
        <v>0</v>
      </c>
      <c r="T673">
        <v>0</v>
      </c>
      <c r="U673">
        <v>0</v>
      </c>
      <c r="V673">
        <f t="shared" si="30"/>
        <v>32.59675</v>
      </c>
      <c r="W673">
        <f t="shared" si="31"/>
        <v>31.811250000000001</v>
      </c>
      <c r="X673">
        <f t="shared" si="32"/>
        <v>31.812249999999999</v>
      </c>
      <c r="Y673">
        <v>13</v>
      </c>
      <c r="Z673" s="2" t="s">
        <v>142</v>
      </c>
    </row>
    <row r="674" spans="1:26" x14ac:dyDescent="0.25">
      <c r="A674">
        <v>1087</v>
      </c>
      <c r="B674">
        <v>774</v>
      </c>
      <c r="C674" t="s">
        <v>22</v>
      </c>
      <c r="D674" t="s">
        <v>32</v>
      </c>
      <c r="E674" t="s">
        <v>24</v>
      </c>
      <c r="F674" t="s">
        <v>636</v>
      </c>
      <c r="G674" t="str">
        <f>VLOOKUP(F674,Hospitals!E:H,4,FALSE)</f>
        <v>28.99308 , 77.01507</v>
      </c>
      <c r="H674" s="1">
        <v>45589</v>
      </c>
      <c r="I674" s="1">
        <v>45589</v>
      </c>
      <c r="J674">
        <v>70.063999999999993</v>
      </c>
      <c r="K674">
        <v>69.822000000000003</v>
      </c>
      <c r="L674">
        <v>71.022999999999996</v>
      </c>
      <c r="M674">
        <v>47.058999999999997</v>
      </c>
      <c r="N674">
        <v>39.130000000000003</v>
      </c>
      <c r="O674">
        <v>39.130000000000003</v>
      </c>
      <c r="P674">
        <v>47.058999999999997</v>
      </c>
      <c r="Q674">
        <v>39.130000000000003</v>
      </c>
      <c r="R674">
        <v>39.130000000000003</v>
      </c>
      <c r="S674">
        <v>30</v>
      </c>
      <c r="T674">
        <v>25</v>
      </c>
      <c r="U674">
        <v>7.1429999999999998</v>
      </c>
      <c r="V674">
        <f t="shared" si="30"/>
        <v>48.545499999999997</v>
      </c>
      <c r="W674">
        <f t="shared" si="31"/>
        <v>43.270499999999998</v>
      </c>
      <c r="X674">
        <f t="shared" si="32"/>
        <v>39.106499999999997</v>
      </c>
      <c r="Y674">
        <v>13</v>
      </c>
      <c r="Z674" s="2" t="s">
        <v>34</v>
      </c>
    </row>
    <row r="675" spans="1:26" x14ac:dyDescent="0.25">
      <c r="A675">
        <v>772</v>
      </c>
      <c r="B675">
        <v>775</v>
      </c>
      <c r="C675" t="s">
        <v>22</v>
      </c>
      <c r="D675" t="s">
        <v>32</v>
      </c>
      <c r="E675" t="s">
        <v>24</v>
      </c>
      <c r="F675" t="s">
        <v>637</v>
      </c>
      <c r="G675" t="str">
        <f>VLOOKUP(F675,Hospitals!E:H,4,FALSE)</f>
        <v>29.5058 , 78.08801</v>
      </c>
      <c r="H675" s="1">
        <v>45537</v>
      </c>
      <c r="I675" s="1">
        <v>45541</v>
      </c>
      <c r="J675">
        <v>47.771000000000001</v>
      </c>
      <c r="K675">
        <v>45.561999999999998</v>
      </c>
      <c r="L675">
        <v>43.75</v>
      </c>
      <c r="M675">
        <v>47.058999999999997</v>
      </c>
      <c r="N675">
        <v>34.783000000000001</v>
      </c>
      <c r="O675">
        <v>34.783000000000001</v>
      </c>
      <c r="P675">
        <v>47.058999999999997</v>
      </c>
      <c r="Q675">
        <v>34.783000000000001</v>
      </c>
      <c r="R675">
        <v>34.783000000000001</v>
      </c>
      <c r="S675">
        <v>10</v>
      </c>
      <c r="T675">
        <v>8.3330000000000002</v>
      </c>
      <c r="U675">
        <v>0</v>
      </c>
      <c r="V675">
        <f t="shared" si="30"/>
        <v>37.972250000000003</v>
      </c>
      <c r="W675">
        <f t="shared" si="31"/>
        <v>30.86525</v>
      </c>
      <c r="X675">
        <f t="shared" si="32"/>
        <v>28.329000000000001</v>
      </c>
      <c r="Y675">
        <v>13</v>
      </c>
      <c r="Z675" s="2" t="s">
        <v>34</v>
      </c>
    </row>
    <row r="676" spans="1:26" x14ac:dyDescent="0.25">
      <c r="A676">
        <v>990</v>
      </c>
      <c r="B676">
        <v>776</v>
      </c>
      <c r="C676" t="s">
        <v>22</v>
      </c>
      <c r="D676" t="s">
        <v>32</v>
      </c>
      <c r="E676" t="s">
        <v>24</v>
      </c>
      <c r="F676" t="s">
        <v>638</v>
      </c>
      <c r="G676" t="str">
        <f>VLOOKUP(F676,Hospitals!E:H,4,FALSE)</f>
        <v>29.58887 , 74.62832</v>
      </c>
      <c r="H676" s="1">
        <v>45553</v>
      </c>
      <c r="I676" s="1">
        <v>45553</v>
      </c>
      <c r="J676">
        <v>49.682000000000002</v>
      </c>
      <c r="K676">
        <v>46.746000000000002</v>
      </c>
      <c r="L676">
        <v>44.886000000000003</v>
      </c>
      <c r="M676">
        <v>35.293999999999997</v>
      </c>
      <c r="N676">
        <v>26.087</v>
      </c>
      <c r="O676">
        <v>26.087</v>
      </c>
      <c r="P676">
        <v>35.293999999999997</v>
      </c>
      <c r="Q676">
        <v>26.087</v>
      </c>
      <c r="R676">
        <v>26.087</v>
      </c>
      <c r="S676">
        <v>10</v>
      </c>
      <c r="T676">
        <v>8.3330000000000002</v>
      </c>
      <c r="U676">
        <v>0</v>
      </c>
      <c r="V676">
        <f t="shared" si="30"/>
        <v>32.567499999999995</v>
      </c>
      <c r="W676">
        <f t="shared" si="31"/>
        <v>26.81325</v>
      </c>
      <c r="X676">
        <f t="shared" si="32"/>
        <v>24.265000000000001</v>
      </c>
      <c r="Y676">
        <v>13</v>
      </c>
      <c r="Z676" s="2" t="s">
        <v>34</v>
      </c>
    </row>
    <row r="677" spans="1:26" x14ac:dyDescent="0.25">
      <c r="A677">
        <v>956</v>
      </c>
      <c r="B677">
        <v>777</v>
      </c>
      <c r="C677" t="s">
        <v>22</v>
      </c>
      <c r="D677" t="s">
        <v>32</v>
      </c>
      <c r="E677" t="s">
        <v>24</v>
      </c>
      <c r="F677" t="s">
        <v>639</v>
      </c>
      <c r="G677" t="str">
        <f>VLOOKUP(F677,Hospitals!E:H,4,FALSE)</f>
        <v>29.44532 , 75.60561</v>
      </c>
      <c r="H677" s="1">
        <v>45521</v>
      </c>
      <c r="I677" t="s">
        <v>35</v>
      </c>
      <c r="J677">
        <v>50.317999999999998</v>
      </c>
      <c r="K677">
        <v>46.746000000000002</v>
      </c>
      <c r="L677">
        <v>44.886000000000003</v>
      </c>
      <c r="M677">
        <v>47.058999999999997</v>
      </c>
      <c r="N677">
        <v>34.783000000000001</v>
      </c>
      <c r="O677">
        <v>34.783000000000001</v>
      </c>
      <c r="P677">
        <v>47.058999999999997</v>
      </c>
      <c r="Q677">
        <v>34.783000000000001</v>
      </c>
      <c r="R677">
        <v>34.783000000000001</v>
      </c>
      <c r="S677">
        <v>10</v>
      </c>
      <c r="T677">
        <v>0</v>
      </c>
      <c r="U677">
        <v>0</v>
      </c>
      <c r="V677">
        <f t="shared" si="30"/>
        <v>38.608999999999995</v>
      </c>
      <c r="W677">
        <f t="shared" si="31"/>
        <v>29.077999999999999</v>
      </c>
      <c r="X677">
        <f t="shared" si="32"/>
        <v>28.613000000000003</v>
      </c>
      <c r="Y677">
        <v>13</v>
      </c>
      <c r="Z677" s="2" t="s">
        <v>34</v>
      </c>
    </row>
    <row r="678" spans="1:26" x14ac:dyDescent="0.25">
      <c r="A678">
        <v>740</v>
      </c>
      <c r="B678">
        <v>778</v>
      </c>
      <c r="C678" t="s">
        <v>22</v>
      </c>
      <c r="D678" t="s">
        <v>32</v>
      </c>
      <c r="E678" t="s">
        <v>62</v>
      </c>
      <c r="F678" t="s">
        <v>640</v>
      </c>
      <c r="G678" t="str">
        <f>VLOOKUP(F678,Hospitals!E:H,4,FALSE)</f>
        <v>29.51724 , 75.4489</v>
      </c>
      <c r="H678" s="1">
        <v>45455</v>
      </c>
      <c r="I678" s="1">
        <v>45553</v>
      </c>
      <c r="J678">
        <v>64.968000000000004</v>
      </c>
      <c r="K678">
        <v>61.537999999999997</v>
      </c>
      <c r="L678">
        <v>59.658999999999999</v>
      </c>
      <c r="M678">
        <v>35.293999999999997</v>
      </c>
      <c r="N678">
        <v>34.783000000000001</v>
      </c>
      <c r="O678">
        <v>34.783000000000001</v>
      </c>
      <c r="P678">
        <v>35.293999999999997</v>
      </c>
      <c r="Q678">
        <v>34.783000000000001</v>
      </c>
      <c r="R678">
        <v>34.783000000000001</v>
      </c>
      <c r="S678">
        <v>50</v>
      </c>
      <c r="T678">
        <v>41.667000000000002</v>
      </c>
      <c r="U678">
        <v>14.286</v>
      </c>
      <c r="V678">
        <f t="shared" si="30"/>
        <v>46.388999999999996</v>
      </c>
      <c r="W678">
        <f t="shared" si="31"/>
        <v>43.192749999999997</v>
      </c>
      <c r="X678">
        <f t="shared" si="32"/>
        <v>35.877750000000006</v>
      </c>
      <c r="Y678">
        <v>13</v>
      </c>
      <c r="Z678" s="2" t="s">
        <v>34</v>
      </c>
    </row>
    <row r="679" spans="1:26" x14ac:dyDescent="0.25">
      <c r="A679">
        <v>1091</v>
      </c>
      <c r="B679">
        <v>779</v>
      </c>
      <c r="C679" t="s">
        <v>22</v>
      </c>
      <c r="D679" t="s">
        <v>32</v>
      </c>
      <c r="E679" t="s">
        <v>27</v>
      </c>
      <c r="F679" t="s">
        <v>641</v>
      </c>
      <c r="G679" t="str">
        <f>VLOOKUP(F679,Hospitals!E:H,4,FALSE)</f>
        <v>28.90345 , 76.57194</v>
      </c>
      <c r="H679" s="1">
        <v>45589</v>
      </c>
      <c r="I679" s="1">
        <v>45589</v>
      </c>
      <c r="J679">
        <v>42.037999999999997</v>
      </c>
      <c r="K679">
        <v>39.645000000000003</v>
      </c>
      <c r="L679">
        <v>38.067999999999998</v>
      </c>
      <c r="M679">
        <v>29.411999999999999</v>
      </c>
      <c r="N679">
        <v>21.739000000000001</v>
      </c>
      <c r="O679">
        <v>21.739000000000001</v>
      </c>
      <c r="P679">
        <v>29.411999999999999</v>
      </c>
      <c r="Q679">
        <v>21.739000000000001</v>
      </c>
      <c r="R679">
        <v>21.739000000000001</v>
      </c>
      <c r="S679">
        <v>0</v>
      </c>
      <c r="T679">
        <v>0</v>
      </c>
      <c r="U679">
        <v>0</v>
      </c>
      <c r="V679">
        <f t="shared" si="30"/>
        <v>25.215499999999999</v>
      </c>
      <c r="W679">
        <f t="shared" si="31"/>
        <v>20.780750000000001</v>
      </c>
      <c r="X679">
        <f t="shared" si="32"/>
        <v>20.386500000000002</v>
      </c>
      <c r="Y679">
        <v>13</v>
      </c>
      <c r="Z679" s="2" t="s">
        <v>34</v>
      </c>
    </row>
    <row r="680" spans="1:26" x14ac:dyDescent="0.25">
      <c r="A680">
        <v>1092</v>
      </c>
      <c r="B680">
        <v>779</v>
      </c>
      <c r="C680" t="s">
        <v>22</v>
      </c>
      <c r="D680" t="s">
        <v>32</v>
      </c>
      <c r="E680" t="s">
        <v>27</v>
      </c>
      <c r="F680" t="s">
        <v>641</v>
      </c>
      <c r="G680" t="str">
        <f>VLOOKUP(F680,Hospitals!E:H,4,FALSE)</f>
        <v>28.90345 , 76.57194</v>
      </c>
      <c r="H680" s="1">
        <v>45589</v>
      </c>
      <c r="I680" t="s">
        <v>35</v>
      </c>
      <c r="J680">
        <v>42.037999999999997</v>
      </c>
      <c r="K680">
        <v>39.645000000000003</v>
      </c>
      <c r="L680">
        <v>38.067999999999998</v>
      </c>
      <c r="M680">
        <v>29.411999999999999</v>
      </c>
      <c r="N680">
        <v>21.739000000000001</v>
      </c>
      <c r="O680">
        <v>21.739000000000001</v>
      </c>
      <c r="P680">
        <v>29.411999999999999</v>
      </c>
      <c r="Q680">
        <v>21.739000000000001</v>
      </c>
      <c r="R680">
        <v>21.739000000000001</v>
      </c>
      <c r="S680">
        <v>0</v>
      </c>
      <c r="T680">
        <v>0</v>
      </c>
      <c r="U680">
        <v>0</v>
      </c>
      <c r="V680">
        <f t="shared" si="30"/>
        <v>25.215499999999999</v>
      </c>
      <c r="W680">
        <f t="shared" si="31"/>
        <v>20.780750000000001</v>
      </c>
      <c r="X680">
        <f t="shared" si="32"/>
        <v>20.386500000000002</v>
      </c>
      <c r="Y680">
        <v>13</v>
      </c>
      <c r="Z680" s="2" t="s">
        <v>34</v>
      </c>
    </row>
    <row r="681" spans="1:26" x14ac:dyDescent="0.25">
      <c r="A681">
        <v>986</v>
      </c>
      <c r="B681">
        <v>779</v>
      </c>
      <c r="C681" t="s">
        <v>22</v>
      </c>
      <c r="D681" t="s">
        <v>32</v>
      </c>
      <c r="E681" t="s">
        <v>27</v>
      </c>
      <c r="F681" t="s">
        <v>641</v>
      </c>
      <c r="G681" t="str">
        <f>VLOOKUP(F681,Hospitals!E:H,4,FALSE)</f>
        <v>28.90345 , 76.57194</v>
      </c>
      <c r="H681" s="1">
        <v>45587</v>
      </c>
      <c r="I681" s="1">
        <v>45587</v>
      </c>
      <c r="J681">
        <v>42.037999999999997</v>
      </c>
      <c r="K681">
        <v>39.645000000000003</v>
      </c>
      <c r="L681">
        <v>38.067999999999998</v>
      </c>
      <c r="M681">
        <v>29.411999999999999</v>
      </c>
      <c r="N681">
        <v>21.739000000000001</v>
      </c>
      <c r="O681">
        <v>21.739000000000001</v>
      </c>
      <c r="P681">
        <v>29.411999999999999</v>
      </c>
      <c r="Q681">
        <v>21.739000000000001</v>
      </c>
      <c r="R681">
        <v>21.739000000000001</v>
      </c>
      <c r="S681">
        <v>0</v>
      </c>
      <c r="T681">
        <v>0</v>
      </c>
      <c r="U681">
        <v>0</v>
      </c>
      <c r="V681">
        <f t="shared" si="30"/>
        <v>25.215499999999999</v>
      </c>
      <c r="W681">
        <f t="shared" si="31"/>
        <v>20.780750000000001</v>
      </c>
      <c r="X681">
        <f t="shared" si="32"/>
        <v>20.386500000000002</v>
      </c>
      <c r="Y681">
        <v>13</v>
      </c>
      <c r="Z681" s="2" t="s">
        <v>34</v>
      </c>
    </row>
    <row r="682" spans="1:26" x14ac:dyDescent="0.25">
      <c r="A682">
        <v>1085</v>
      </c>
      <c r="B682">
        <v>780</v>
      </c>
      <c r="C682" t="s">
        <v>22</v>
      </c>
      <c r="D682" t="s">
        <v>32</v>
      </c>
      <c r="E682" t="s">
        <v>27</v>
      </c>
      <c r="F682" t="s">
        <v>642</v>
      </c>
      <c r="G682" t="str">
        <f>VLOOKUP(F682,Hospitals!E:H,4,FALSE)</f>
        <v>29.43055 , 74.92088</v>
      </c>
      <c r="H682" s="1">
        <v>45590</v>
      </c>
      <c r="I682" s="1">
        <v>45590</v>
      </c>
      <c r="J682">
        <v>37.58</v>
      </c>
      <c r="K682">
        <v>36.094999999999999</v>
      </c>
      <c r="L682">
        <v>34.658999999999999</v>
      </c>
      <c r="M682">
        <v>11.765000000000001</v>
      </c>
      <c r="N682">
        <v>8.6959999999999997</v>
      </c>
      <c r="O682">
        <v>8.6959999999999997</v>
      </c>
      <c r="P682">
        <v>11.765000000000001</v>
      </c>
      <c r="Q682">
        <v>8.6959999999999997</v>
      </c>
      <c r="R682">
        <v>8.6959999999999997</v>
      </c>
      <c r="S682">
        <v>0</v>
      </c>
      <c r="T682">
        <v>0</v>
      </c>
      <c r="U682">
        <v>0</v>
      </c>
      <c r="V682">
        <f t="shared" si="30"/>
        <v>15.2775</v>
      </c>
      <c r="W682">
        <f t="shared" si="31"/>
        <v>13.371749999999999</v>
      </c>
      <c r="X682">
        <f t="shared" si="32"/>
        <v>13.012749999999999</v>
      </c>
      <c r="Y682">
        <v>13</v>
      </c>
      <c r="Z682" s="2" t="s">
        <v>34</v>
      </c>
    </row>
    <row r="683" spans="1:26" x14ac:dyDescent="0.25">
      <c r="A683">
        <v>1007</v>
      </c>
      <c r="B683">
        <v>781</v>
      </c>
      <c r="C683" t="s">
        <v>22</v>
      </c>
      <c r="D683" t="s">
        <v>32</v>
      </c>
      <c r="E683" t="s">
        <v>27</v>
      </c>
      <c r="F683" t="s">
        <v>643</v>
      </c>
      <c r="G683" t="str">
        <f>VLOOKUP(F683,Hospitals!E:H,4,FALSE)</f>
        <v>29.43055 , 74.92088</v>
      </c>
      <c r="H683" s="1">
        <v>45588</v>
      </c>
      <c r="I683" s="1">
        <v>45588</v>
      </c>
      <c r="J683">
        <v>36.942999999999998</v>
      </c>
      <c r="K683">
        <v>34.911000000000001</v>
      </c>
      <c r="L683">
        <v>33.523000000000003</v>
      </c>
      <c r="M683">
        <v>17.646999999999998</v>
      </c>
      <c r="N683">
        <v>13.042999999999999</v>
      </c>
      <c r="O683">
        <v>13.042999999999999</v>
      </c>
      <c r="P683">
        <v>17.646999999999998</v>
      </c>
      <c r="Q683">
        <v>13.042999999999999</v>
      </c>
      <c r="R683">
        <v>13.042999999999999</v>
      </c>
      <c r="S683">
        <v>0</v>
      </c>
      <c r="T683">
        <v>0</v>
      </c>
      <c r="U683">
        <v>0</v>
      </c>
      <c r="V683">
        <f t="shared" si="30"/>
        <v>18.059249999999999</v>
      </c>
      <c r="W683">
        <f t="shared" si="31"/>
        <v>15.24925</v>
      </c>
      <c r="X683">
        <f t="shared" si="32"/>
        <v>14.90225</v>
      </c>
      <c r="Y683">
        <v>13</v>
      </c>
      <c r="Z683" s="2" t="s">
        <v>34</v>
      </c>
    </row>
    <row r="684" spans="1:26" x14ac:dyDescent="0.25">
      <c r="A684">
        <v>1088</v>
      </c>
      <c r="B684">
        <v>781</v>
      </c>
      <c r="C684" t="s">
        <v>22</v>
      </c>
      <c r="D684" t="s">
        <v>32</v>
      </c>
      <c r="E684" t="s">
        <v>27</v>
      </c>
      <c r="F684" t="s">
        <v>643</v>
      </c>
      <c r="G684" t="str">
        <f>VLOOKUP(F684,Hospitals!E:H,4,FALSE)</f>
        <v>29.43055 , 74.92088</v>
      </c>
      <c r="H684" s="1">
        <v>45588</v>
      </c>
      <c r="I684" s="1">
        <v>45601</v>
      </c>
      <c r="J684">
        <v>36.942999999999998</v>
      </c>
      <c r="K684">
        <v>34.911000000000001</v>
      </c>
      <c r="L684">
        <v>33.523000000000003</v>
      </c>
      <c r="M684">
        <v>17.646999999999998</v>
      </c>
      <c r="N684">
        <v>13.042999999999999</v>
      </c>
      <c r="O684">
        <v>13.042999999999999</v>
      </c>
      <c r="P684">
        <v>17.646999999999998</v>
      </c>
      <c r="Q684">
        <v>13.042999999999999</v>
      </c>
      <c r="R684">
        <v>13.042999999999999</v>
      </c>
      <c r="S684">
        <v>0</v>
      </c>
      <c r="T684">
        <v>0</v>
      </c>
      <c r="U684">
        <v>0</v>
      </c>
      <c r="V684">
        <f t="shared" si="30"/>
        <v>18.059249999999999</v>
      </c>
      <c r="W684">
        <f t="shared" si="31"/>
        <v>15.24925</v>
      </c>
      <c r="X684">
        <f t="shared" si="32"/>
        <v>14.90225</v>
      </c>
      <c r="Y684">
        <v>13</v>
      </c>
      <c r="Z684" s="2" t="s">
        <v>34</v>
      </c>
    </row>
    <row r="685" spans="1:26" x14ac:dyDescent="0.25">
      <c r="A685">
        <v>1090</v>
      </c>
      <c r="B685">
        <v>782</v>
      </c>
      <c r="C685" t="s">
        <v>22</v>
      </c>
      <c r="D685" t="s">
        <v>32</v>
      </c>
      <c r="E685" t="s">
        <v>27</v>
      </c>
      <c r="F685" t="s">
        <v>644</v>
      </c>
      <c r="G685" t="str">
        <f>VLOOKUP(F685,Hospitals!E:H,4,FALSE)</f>
        <v>29.43055 , 74.92088</v>
      </c>
      <c r="H685" s="1">
        <v>45589</v>
      </c>
      <c r="I685" s="1">
        <v>45589</v>
      </c>
      <c r="J685">
        <v>19.745000000000001</v>
      </c>
      <c r="K685">
        <v>18.934999999999999</v>
      </c>
      <c r="L685">
        <v>18.181999999999999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f t="shared" si="30"/>
        <v>4.9362500000000002</v>
      </c>
      <c r="W685">
        <f t="shared" si="31"/>
        <v>4.7337499999999997</v>
      </c>
      <c r="X685">
        <f t="shared" si="32"/>
        <v>4.5454999999999997</v>
      </c>
      <c r="Y685">
        <v>13</v>
      </c>
      <c r="Z685" s="2" t="s">
        <v>34</v>
      </c>
    </row>
    <row r="686" spans="1:26" x14ac:dyDescent="0.25">
      <c r="A686">
        <v>1086</v>
      </c>
      <c r="B686">
        <v>783</v>
      </c>
      <c r="C686" t="s">
        <v>22</v>
      </c>
      <c r="D686" t="s">
        <v>32</v>
      </c>
      <c r="E686" t="s">
        <v>27</v>
      </c>
      <c r="F686" t="s">
        <v>645</v>
      </c>
      <c r="G686" t="str">
        <f>VLOOKUP(F686,Hospitals!E:H,4,FALSE)</f>
        <v>29.65635 , 75.42976</v>
      </c>
      <c r="H686" s="1">
        <v>45587</v>
      </c>
      <c r="I686" s="1">
        <v>45587</v>
      </c>
      <c r="J686">
        <v>38.216999999999999</v>
      </c>
      <c r="K686">
        <v>35.503</v>
      </c>
      <c r="L686">
        <v>34.091000000000001</v>
      </c>
      <c r="M686">
        <v>23.529</v>
      </c>
      <c r="N686">
        <v>17.390999999999998</v>
      </c>
      <c r="O686">
        <v>17.390999999999998</v>
      </c>
      <c r="P686">
        <v>23.529</v>
      </c>
      <c r="Q686">
        <v>17.390999999999998</v>
      </c>
      <c r="R686">
        <v>17.390999999999998</v>
      </c>
      <c r="S686">
        <v>0</v>
      </c>
      <c r="T686">
        <v>0</v>
      </c>
      <c r="U686">
        <v>0</v>
      </c>
      <c r="V686">
        <f t="shared" si="30"/>
        <v>21.318749999999998</v>
      </c>
      <c r="W686">
        <f t="shared" si="31"/>
        <v>17.571249999999999</v>
      </c>
      <c r="X686">
        <f t="shared" si="32"/>
        <v>17.218249999999998</v>
      </c>
      <c r="Y686">
        <v>13</v>
      </c>
      <c r="Z686" s="2" t="s">
        <v>34</v>
      </c>
    </row>
    <row r="687" spans="1:26" x14ac:dyDescent="0.25">
      <c r="A687">
        <v>1094</v>
      </c>
      <c r="B687">
        <v>784</v>
      </c>
      <c r="C687" t="s">
        <v>22</v>
      </c>
      <c r="D687" t="s">
        <v>32</v>
      </c>
      <c r="E687" t="s">
        <v>27</v>
      </c>
      <c r="F687" t="s">
        <v>646</v>
      </c>
      <c r="G687" t="str">
        <f>VLOOKUP(F687,Hospitals!E:H,4,FALSE)</f>
        <v>29.53838 , 75.70767</v>
      </c>
      <c r="H687" s="1">
        <v>45594</v>
      </c>
      <c r="I687" s="1">
        <v>45594</v>
      </c>
      <c r="J687">
        <v>78.980999999999995</v>
      </c>
      <c r="K687">
        <v>76.331000000000003</v>
      </c>
      <c r="L687">
        <v>73.295000000000002</v>
      </c>
      <c r="M687">
        <v>100</v>
      </c>
      <c r="N687">
        <v>95.652000000000001</v>
      </c>
      <c r="O687">
        <v>95.652000000000001</v>
      </c>
      <c r="P687">
        <v>100</v>
      </c>
      <c r="Q687">
        <v>95.652000000000001</v>
      </c>
      <c r="R687">
        <v>95.652000000000001</v>
      </c>
      <c r="S687">
        <v>0</v>
      </c>
      <c r="T687">
        <v>8.3330000000000002</v>
      </c>
      <c r="U687">
        <v>7.1429999999999998</v>
      </c>
      <c r="V687">
        <f t="shared" si="30"/>
        <v>69.745249999999999</v>
      </c>
      <c r="W687">
        <f t="shared" si="31"/>
        <v>68.992000000000004</v>
      </c>
      <c r="X687">
        <f t="shared" si="32"/>
        <v>67.93549999999999</v>
      </c>
      <c r="Y687">
        <v>13</v>
      </c>
      <c r="Z687" s="2" t="s">
        <v>34</v>
      </c>
    </row>
    <row r="688" spans="1:26" x14ac:dyDescent="0.25">
      <c r="A688">
        <v>1110</v>
      </c>
      <c r="B688">
        <v>789</v>
      </c>
      <c r="C688" t="s">
        <v>22</v>
      </c>
      <c r="D688" t="s">
        <v>32</v>
      </c>
      <c r="E688" t="s">
        <v>27</v>
      </c>
      <c r="F688" t="s">
        <v>647</v>
      </c>
      <c r="G688" t="str">
        <f>VLOOKUP(F688,Hospitals!E:H,4,FALSE)</f>
        <v>28.99308 , 77.01507</v>
      </c>
      <c r="H688" s="1">
        <v>45644</v>
      </c>
      <c r="I688" s="1">
        <v>45644</v>
      </c>
      <c r="J688">
        <v>29.298999999999999</v>
      </c>
      <c r="K688">
        <v>27.219000000000001</v>
      </c>
      <c r="L688">
        <v>26.135999999999999</v>
      </c>
      <c r="M688">
        <v>17.646999999999998</v>
      </c>
      <c r="N688">
        <v>13.042999999999999</v>
      </c>
      <c r="O688">
        <v>13.042999999999999</v>
      </c>
      <c r="P688">
        <v>17.646999999999998</v>
      </c>
      <c r="Q688">
        <v>13.042999999999999</v>
      </c>
      <c r="R688">
        <v>13.042999999999999</v>
      </c>
      <c r="S688">
        <v>0</v>
      </c>
      <c r="T688">
        <v>0</v>
      </c>
      <c r="U688">
        <v>0</v>
      </c>
      <c r="V688">
        <f t="shared" si="30"/>
        <v>16.148249999999997</v>
      </c>
      <c r="W688">
        <f t="shared" si="31"/>
        <v>13.32625</v>
      </c>
      <c r="X688">
        <f t="shared" si="32"/>
        <v>13.0555</v>
      </c>
      <c r="Y688">
        <v>13</v>
      </c>
      <c r="Z688" s="2" t="s">
        <v>34</v>
      </c>
    </row>
    <row r="689" spans="1:26" x14ac:dyDescent="0.25">
      <c r="A689">
        <v>780</v>
      </c>
      <c r="B689">
        <v>79</v>
      </c>
      <c r="C689" t="s">
        <v>22</v>
      </c>
      <c r="D689" t="s">
        <v>29</v>
      </c>
      <c r="E689" t="s">
        <v>30</v>
      </c>
      <c r="F689" t="s">
        <v>648</v>
      </c>
      <c r="G689" t="e">
        <f>VLOOKUP(F689,Hospitals!E:H,4,FALSE)</f>
        <v>#N/A</v>
      </c>
      <c r="H689" s="1">
        <v>45448</v>
      </c>
      <c r="I689" t="s">
        <v>35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f t="shared" si="30"/>
        <v>0</v>
      </c>
      <c r="W689">
        <f t="shared" si="31"/>
        <v>0</v>
      </c>
      <c r="X689">
        <f t="shared" si="32"/>
        <v>0</v>
      </c>
      <c r="Y689">
        <v>13</v>
      </c>
      <c r="Z689" s="2" t="s">
        <v>31</v>
      </c>
    </row>
    <row r="690" spans="1:26" x14ac:dyDescent="0.25">
      <c r="A690">
        <v>1013</v>
      </c>
      <c r="B690">
        <v>790</v>
      </c>
      <c r="C690" t="s">
        <v>22</v>
      </c>
      <c r="D690" t="s">
        <v>32</v>
      </c>
      <c r="E690" t="s">
        <v>27</v>
      </c>
      <c r="F690" t="s">
        <v>649</v>
      </c>
      <c r="G690" t="str">
        <f>VLOOKUP(F690,Hospitals!E:H,4,FALSE)</f>
        <v>29.56163 , 75.37618</v>
      </c>
      <c r="H690" s="1">
        <v>45539</v>
      </c>
      <c r="I690" t="s">
        <v>35</v>
      </c>
      <c r="J690">
        <v>0</v>
      </c>
      <c r="K690">
        <v>0</v>
      </c>
      <c r="L690">
        <v>0</v>
      </c>
      <c r="M690">
        <v>11.765000000000001</v>
      </c>
      <c r="N690">
        <v>8.6959999999999997</v>
      </c>
      <c r="O690">
        <v>8.6959999999999997</v>
      </c>
      <c r="P690">
        <v>11.765000000000001</v>
      </c>
      <c r="Q690">
        <v>8.6959999999999997</v>
      </c>
      <c r="R690">
        <v>8.6959999999999997</v>
      </c>
      <c r="S690">
        <v>0</v>
      </c>
      <c r="T690">
        <v>0</v>
      </c>
      <c r="U690">
        <v>0</v>
      </c>
      <c r="V690">
        <f t="shared" si="30"/>
        <v>5.8825000000000003</v>
      </c>
      <c r="W690">
        <f t="shared" si="31"/>
        <v>4.3479999999999999</v>
      </c>
      <c r="X690">
        <f t="shared" si="32"/>
        <v>4.3479999999999999</v>
      </c>
      <c r="Y690">
        <v>13</v>
      </c>
      <c r="Z690" s="2" t="s">
        <v>34</v>
      </c>
    </row>
    <row r="691" spans="1:26" x14ac:dyDescent="0.25">
      <c r="A691">
        <v>1095</v>
      </c>
      <c r="B691">
        <v>792</v>
      </c>
      <c r="C691" t="s">
        <v>22</v>
      </c>
      <c r="D691" t="s">
        <v>32</v>
      </c>
      <c r="E691" t="s">
        <v>27</v>
      </c>
      <c r="F691" t="s">
        <v>650</v>
      </c>
      <c r="G691" t="str">
        <f>VLOOKUP(F691,Hospitals!E:H,4,FALSE)</f>
        <v>29.36286 , 75.94632</v>
      </c>
      <c r="H691" s="1">
        <v>45595</v>
      </c>
      <c r="I691" s="1">
        <v>45595</v>
      </c>
      <c r="J691">
        <v>21.655999999999999</v>
      </c>
      <c r="K691">
        <v>20.117999999999999</v>
      </c>
      <c r="L691">
        <v>19.885999999999999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f t="shared" si="30"/>
        <v>5.4139999999999997</v>
      </c>
      <c r="W691">
        <f t="shared" si="31"/>
        <v>5.0294999999999996</v>
      </c>
      <c r="X691">
        <f t="shared" si="32"/>
        <v>4.9714999999999998</v>
      </c>
      <c r="Y691">
        <v>13</v>
      </c>
      <c r="Z691" s="2" t="s">
        <v>34</v>
      </c>
    </row>
    <row r="692" spans="1:26" x14ac:dyDescent="0.25">
      <c r="A692">
        <v>954</v>
      </c>
      <c r="B692">
        <v>793</v>
      </c>
      <c r="C692" t="s">
        <v>22</v>
      </c>
      <c r="D692" t="s">
        <v>32</v>
      </c>
      <c r="E692" t="s">
        <v>27</v>
      </c>
      <c r="F692" t="s">
        <v>651</v>
      </c>
      <c r="G692" t="str">
        <f>VLOOKUP(F692,Hospitals!E:H,4,FALSE)</f>
        <v>29.38711 , 75.34182</v>
      </c>
      <c r="H692" s="1">
        <v>45590</v>
      </c>
      <c r="I692" s="1">
        <v>45590</v>
      </c>
      <c r="J692">
        <v>8.9169999999999998</v>
      </c>
      <c r="K692">
        <v>8.2840000000000007</v>
      </c>
      <c r="L692">
        <v>7.9550000000000001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f t="shared" si="30"/>
        <v>2.22925</v>
      </c>
      <c r="W692">
        <f t="shared" si="31"/>
        <v>2.0710000000000002</v>
      </c>
      <c r="X692">
        <f t="shared" si="32"/>
        <v>1.98875</v>
      </c>
      <c r="Y692">
        <v>13</v>
      </c>
      <c r="Z692" s="2" t="s">
        <v>34</v>
      </c>
    </row>
    <row r="693" spans="1:26" x14ac:dyDescent="0.25">
      <c r="A693">
        <v>979</v>
      </c>
      <c r="B693">
        <v>794</v>
      </c>
      <c r="C693" t="s">
        <v>22</v>
      </c>
      <c r="D693" t="s">
        <v>32</v>
      </c>
      <c r="E693" t="s">
        <v>27</v>
      </c>
      <c r="F693" t="s">
        <v>652</v>
      </c>
      <c r="G693" t="str">
        <f>VLOOKUP(F693,Hospitals!E:H,4,FALSE)</f>
        <v>29.49746 , 75.36357</v>
      </c>
      <c r="H693" s="1">
        <v>45589</v>
      </c>
      <c r="I693" s="1">
        <v>45589</v>
      </c>
      <c r="J693">
        <v>14.013</v>
      </c>
      <c r="K693">
        <v>13.018000000000001</v>
      </c>
      <c r="L693">
        <v>12.5</v>
      </c>
      <c r="M693">
        <v>5.8819999999999997</v>
      </c>
      <c r="N693">
        <v>4.3479999999999999</v>
      </c>
      <c r="O693">
        <v>4.3479999999999999</v>
      </c>
      <c r="P693">
        <v>5.8819999999999997</v>
      </c>
      <c r="Q693">
        <v>4.3479999999999999</v>
      </c>
      <c r="R693">
        <v>4.3479999999999999</v>
      </c>
      <c r="S693">
        <v>0</v>
      </c>
      <c r="T693">
        <v>0</v>
      </c>
      <c r="U693">
        <v>0</v>
      </c>
      <c r="V693">
        <f t="shared" si="30"/>
        <v>6.4442500000000003</v>
      </c>
      <c r="W693">
        <f t="shared" si="31"/>
        <v>5.4284999999999997</v>
      </c>
      <c r="X693">
        <f t="shared" si="32"/>
        <v>5.2989999999999995</v>
      </c>
      <c r="Y693">
        <v>13</v>
      </c>
      <c r="Z693" s="2" t="s">
        <v>34</v>
      </c>
    </row>
    <row r="694" spans="1:26" x14ac:dyDescent="0.25">
      <c r="A694">
        <v>1167</v>
      </c>
      <c r="B694">
        <v>794</v>
      </c>
      <c r="C694" t="s">
        <v>22</v>
      </c>
      <c r="D694" t="s">
        <v>32</v>
      </c>
      <c r="E694" t="s">
        <v>27</v>
      </c>
      <c r="F694" t="s">
        <v>652</v>
      </c>
      <c r="G694" t="str">
        <f>VLOOKUP(F694,Hospitals!E:H,4,FALSE)</f>
        <v>29.49746 , 75.36357</v>
      </c>
      <c r="H694" s="1">
        <v>45747</v>
      </c>
      <c r="I694" t="s">
        <v>35</v>
      </c>
      <c r="J694">
        <v>14.013</v>
      </c>
      <c r="K694">
        <v>13.018000000000001</v>
      </c>
      <c r="L694">
        <v>12.5</v>
      </c>
      <c r="M694">
        <v>5.8819999999999997</v>
      </c>
      <c r="N694">
        <v>4.3479999999999999</v>
      </c>
      <c r="O694">
        <v>4.3479999999999999</v>
      </c>
      <c r="P694">
        <v>5.8819999999999997</v>
      </c>
      <c r="Q694">
        <v>4.3479999999999999</v>
      </c>
      <c r="R694">
        <v>4.3479999999999999</v>
      </c>
      <c r="S694">
        <v>0</v>
      </c>
      <c r="T694">
        <v>0</v>
      </c>
      <c r="U694">
        <v>0</v>
      </c>
      <c r="V694">
        <f t="shared" si="30"/>
        <v>6.4442500000000003</v>
      </c>
      <c r="W694">
        <f t="shared" si="31"/>
        <v>5.4284999999999997</v>
      </c>
      <c r="X694">
        <f t="shared" si="32"/>
        <v>5.2989999999999995</v>
      </c>
      <c r="Y694">
        <v>13</v>
      </c>
      <c r="Z694" s="2" t="s">
        <v>34</v>
      </c>
    </row>
    <row r="695" spans="1:26" x14ac:dyDescent="0.25">
      <c r="A695">
        <v>1093</v>
      </c>
      <c r="B695">
        <v>795</v>
      </c>
      <c r="C695" t="s">
        <v>22</v>
      </c>
      <c r="D695" t="s">
        <v>32</v>
      </c>
      <c r="E695" t="s">
        <v>27</v>
      </c>
      <c r="F695" t="s">
        <v>653</v>
      </c>
      <c r="G695" t="str">
        <f>VLOOKUP(F695,Hospitals!E:H,4,FALSE)</f>
        <v>29.1134 , 75.6393</v>
      </c>
      <c r="H695" s="1">
        <v>45595</v>
      </c>
      <c r="I695" s="1">
        <v>45595</v>
      </c>
      <c r="J695">
        <v>70.700999999999993</v>
      </c>
      <c r="K695">
        <v>65.680000000000007</v>
      </c>
      <c r="L695">
        <v>63.067999999999998</v>
      </c>
      <c r="M695">
        <v>52.941000000000003</v>
      </c>
      <c r="N695">
        <v>39.130000000000003</v>
      </c>
      <c r="O695">
        <v>39.130000000000003</v>
      </c>
      <c r="P695">
        <v>52.941000000000003</v>
      </c>
      <c r="Q695">
        <v>39.130000000000003</v>
      </c>
      <c r="R695">
        <v>39.130000000000003</v>
      </c>
      <c r="S695">
        <v>0</v>
      </c>
      <c r="T695">
        <v>0</v>
      </c>
      <c r="U695">
        <v>0</v>
      </c>
      <c r="V695">
        <f t="shared" si="30"/>
        <v>44.14575</v>
      </c>
      <c r="W695">
        <f t="shared" si="31"/>
        <v>35.984999999999999</v>
      </c>
      <c r="X695">
        <f t="shared" si="32"/>
        <v>35.332000000000001</v>
      </c>
      <c r="Y695">
        <v>13</v>
      </c>
      <c r="Z695" s="2" t="s">
        <v>34</v>
      </c>
    </row>
    <row r="696" spans="1:26" x14ac:dyDescent="0.25">
      <c r="A696">
        <v>1109</v>
      </c>
      <c r="B696">
        <v>796</v>
      </c>
      <c r="C696" t="s">
        <v>22</v>
      </c>
      <c r="D696" t="s">
        <v>32</v>
      </c>
      <c r="E696" t="s">
        <v>27</v>
      </c>
      <c r="F696" t="s">
        <v>654</v>
      </c>
      <c r="G696" t="str">
        <f>VLOOKUP(F696,Hospitals!E:H,4,FALSE)</f>
        <v>28.4459 , 77.06051</v>
      </c>
      <c r="H696" s="1">
        <v>45644</v>
      </c>
      <c r="I696" s="1">
        <v>45644</v>
      </c>
      <c r="J696">
        <v>34.395000000000003</v>
      </c>
      <c r="K696">
        <v>31.952999999999999</v>
      </c>
      <c r="L696">
        <v>30.681999999999999</v>
      </c>
      <c r="M696">
        <v>47.058999999999997</v>
      </c>
      <c r="N696">
        <v>34.783000000000001</v>
      </c>
      <c r="O696">
        <v>34.783000000000001</v>
      </c>
      <c r="P696">
        <v>47.058999999999997</v>
      </c>
      <c r="Q696">
        <v>34.783000000000001</v>
      </c>
      <c r="R696">
        <v>34.783000000000001</v>
      </c>
      <c r="S696">
        <v>0</v>
      </c>
      <c r="T696">
        <v>0</v>
      </c>
      <c r="U696">
        <v>0</v>
      </c>
      <c r="V696">
        <f t="shared" si="30"/>
        <v>32.128250000000001</v>
      </c>
      <c r="W696">
        <f t="shared" si="31"/>
        <v>25.379750000000001</v>
      </c>
      <c r="X696">
        <f t="shared" si="32"/>
        <v>25.062000000000001</v>
      </c>
      <c r="Y696">
        <v>13</v>
      </c>
      <c r="Z696" s="2" t="s">
        <v>34</v>
      </c>
    </row>
    <row r="697" spans="1:26" x14ac:dyDescent="0.25">
      <c r="A697">
        <v>1102</v>
      </c>
      <c r="B697">
        <v>796</v>
      </c>
      <c r="C697" t="s">
        <v>22</v>
      </c>
      <c r="D697" t="s">
        <v>32</v>
      </c>
      <c r="E697" t="s">
        <v>27</v>
      </c>
      <c r="F697" t="s">
        <v>654</v>
      </c>
      <c r="G697" t="str">
        <f>VLOOKUP(F697,Hospitals!E:H,4,FALSE)</f>
        <v>28.4459 , 77.06051</v>
      </c>
      <c r="H697" s="1">
        <v>45621</v>
      </c>
      <c r="I697" s="1">
        <v>45621</v>
      </c>
      <c r="J697">
        <v>34.395000000000003</v>
      </c>
      <c r="K697">
        <v>31.952999999999999</v>
      </c>
      <c r="L697">
        <v>30.681999999999999</v>
      </c>
      <c r="M697">
        <v>47.058999999999997</v>
      </c>
      <c r="N697">
        <v>34.783000000000001</v>
      </c>
      <c r="O697">
        <v>34.783000000000001</v>
      </c>
      <c r="P697">
        <v>47.058999999999997</v>
      </c>
      <c r="Q697">
        <v>34.783000000000001</v>
      </c>
      <c r="R697">
        <v>34.783000000000001</v>
      </c>
      <c r="S697">
        <v>0</v>
      </c>
      <c r="T697">
        <v>0</v>
      </c>
      <c r="U697">
        <v>0</v>
      </c>
      <c r="V697">
        <f t="shared" si="30"/>
        <v>32.128250000000001</v>
      </c>
      <c r="W697">
        <f t="shared" si="31"/>
        <v>25.379750000000001</v>
      </c>
      <c r="X697">
        <f t="shared" si="32"/>
        <v>25.062000000000001</v>
      </c>
      <c r="Y697">
        <v>13</v>
      </c>
      <c r="Z697" s="2" t="s">
        <v>34</v>
      </c>
    </row>
    <row r="698" spans="1:26" x14ac:dyDescent="0.25">
      <c r="A698">
        <v>1101</v>
      </c>
      <c r="B698">
        <v>797</v>
      </c>
      <c r="C698" t="s">
        <v>22</v>
      </c>
      <c r="D698" t="s">
        <v>32</v>
      </c>
      <c r="E698" t="s">
        <v>27</v>
      </c>
      <c r="F698" t="s">
        <v>655</v>
      </c>
      <c r="G698" t="str">
        <f>VLOOKUP(F698,Hospitals!E:H,4,FALSE)</f>
        <v>28.99308 , 77.01507</v>
      </c>
      <c r="H698" s="1">
        <v>45621</v>
      </c>
      <c r="I698" s="1">
        <v>45621</v>
      </c>
      <c r="J698">
        <v>3.8220000000000001</v>
      </c>
      <c r="K698">
        <v>3.55</v>
      </c>
      <c r="L698">
        <v>3.4089999999999998</v>
      </c>
      <c r="M698">
        <v>17.646999999999998</v>
      </c>
      <c r="N698">
        <v>13.042999999999999</v>
      </c>
      <c r="O698">
        <v>13.042999999999999</v>
      </c>
      <c r="P698">
        <v>17.646999999999998</v>
      </c>
      <c r="Q698">
        <v>13.042999999999999</v>
      </c>
      <c r="R698">
        <v>13.042999999999999</v>
      </c>
      <c r="S698">
        <v>0</v>
      </c>
      <c r="T698">
        <v>0</v>
      </c>
      <c r="U698">
        <v>0</v>
      </c>
      <c r="V698">
        <f t="shared" si="30"/>
        <v>9.7789999999999999</v>
      </c>
      <c r="W698">
        <f t="shared" si="31"/>
        <v>7.4089999999999998</v>
      </c>
      <c r="X698">
        <f t="shared" si="32"/>
        <v>7.3737499999999994</v>
      </c>
      <c r="Y698">
        <v>13</v>
      </c>
      <c r="Z698" s="2" t="s">
        <v>34</v>
      </c>
    </row>
    <row r="699" spans="1:26" x14ac:dyDescent="0.25">
      <c r="A699">
        <v>1100</v>
      </c>
      <c r="B699">
        <v>798</v>
      </c>
      <c r="C699" t="s">
        <v>22</v>
      </c>
      <c r="D699" t="s">
        <v>32</v>
      </c>
      <c r="E699" t="s">
        <v>27</v>
      </c>
      <c r="F699" t="s">
        <v>656</v>
      </c>
      <c r="G699" t="str">
        <f>VLOOKUP(F699,Hospitals!E:H,4,FALSE)</f>
        <v>29.68781 , 75.11736</v>
      </c>
      <c r="H699" s="1">
        <v>45618</v>
      </c>
      <c r="I699" s="1">
        <v>45618</v>
      </c>
      <c r="J699">
        <v>26.114999999999998</v>
      </c>
      <c r="K699">
        <v>24.26</v>
      </c>
      <c r="L699">
        <v>23.295000000000002</v>
      </c>
      <c r="M699">
        <v>41.176000000000002</v>
      </c>
      <c r="N699">
        <v>30.434999999999999</v>
      </c>
      <c r="O699">
        <v>30.434999999999999</v>
      </c>
      <c r="P699">
        <v>41.176000000000002</v>
      </c>
      <c r="Q699">
        <v>30.434999999999999</v>
      </c>
      <c r="R699">
        <v>30.434999999999999</v>
      </c>
      <c r="S699">
        <v>0</v>
      </c>
      <c r="T699">
        <v>0</v>
      </c>
      <c r="U699">
        <v>0</v>
      </c>
      <c r="V699">
        <f t="shared" si="30"/>
        <v>27.11675</v>
      </c>
      <c r="W699">
        <f t="shared" si="31"/>
        <v>21.282499999999999</v>
      </c>
      <c r="X699">
        <f t="shared" si="32"/>
        <v>21.041250000000002</v>
      </c>
      <c r="Y699">
        <v>13</v>
      </c>
      <c r="Z699" s="2" t="s">
        <v>34</v>
      </c>
    </row>
    <row r="700" spans="1:26" x14ac:dyDescent="0.25">
      <c r="A700">
        <v>1084</v>
      </c>
      <c r="B700">
        <v>799</v>
      </c>
      <c r="C700" t="s">
        <v>22</v>
      </c>
      <c r="D700" t="s">
        <v>32</v>
      </c>
      <c r="E700" t="s">
        <v>30</v>
      </c>
      <c r="F700" t="s">
        <v>657</v>
      </c>
      <c r="G700" t="str">
        <f>VLOOKUP(F700,Hospitals!E:H,4,FALSE)</f>
        <v>28.46556 , 77.06378</v>
      </c>
      <c r="H700" s="1">
        <v>45586</v>
      </c>
      <c r="I700" s="1">
        <v>45586</v>
      </c>
      <c r="J700">
        <v>99.363</v>
      </c>
      <c r="K700">
        <v>98.816999999999993</v>
      </c>
      <c r="L700">
        <v>98.864000000000004</v>
      </c>
      <c r="M700">
        <v>88.234999999999999</v>
      </c>
      <c r="N700">
        <v>91.304000000000002</v>
      </c>
      <c r="O700">
        <v>91.304000000000002</v>
      </c>
      <c r="P700">
        <v>88.234999999999999</v>
      </c>
      <c r="Q700">
        <v>91.304000000000002</v>
      </c>
      <c r="R700">
        <v>91.304000000000002</v>
      </c>
      <c r="S700">
        <v>30</v>
      </c>
      <c r="T700">
        <v>25</v>
      </c>
      <c r="U700">
        <v>14.286</v>
      </c>
      <c r="V700">
        <f t="shared" si="30"/>
        <v>76.458250000000007</v>
      </c>
      <c r="W700">
        <f t="shared" si="31"/>
        <v>76.606249999999989</v>
      </c>
      <c r="X700">
        <f t="shared" si="32"/>
        <v>73.939499999999995</v>
      </c>
      <c r="Y700">
        <v>13</v>
      </c>
      <c r="Z700" s="2" t="s">
        <v>34</v>
      </c>
    </row>
    <row r="701" spans="1:26" x14ac:dyDescent="0.25">
      <c r="A701">
        <v>758</v>
      </c>
      <c r="B701">
        <v>8</v>
      </c>
      <c r="C701" t="s">
        <v>22</v>
      </c>
      <c r="D701" t="s">
        <v>23</v>
      </c>
      <c r="E701" t="s">
        <v>27</v>
      </c>
      <c r="F701" t="s">
        <v>658</v>
      </c>
      <c r="G701" t="str">
        <f>VLOOKUP(F701,Hospitals!E:H,4,FALSE)</f>
        <v>30.30838 , 77.01635</v>
      </c>
      <c r="H701" s="1">
        <v>45432</v>
      </c>
      <c r="I701" s="1">
        <v>45432</v>
      </c>
      <c r="J701">
        <v>38.853999999999999</v>
      </c>
      <c r="K701">
        <v>36.094999999999999</v>
      </c>
      <c r="L701">
        <v>34.658999999999999</v>
      </c>
      <c r="M701">
        <v>29.411999999999999</v>
      </c>
      <c r="N701">
        <v>21.739000000000001</v>
      </c>
      <c r="O701">
        <v>21.739000000000001</v>
      </c>
      <c r="P701">
        <v>29.411999999999999</v>
      </c>
      <c r="Q701">
        <v>21.739000000000001</v>
      </c>
      <c r="R701">
        <v>21.739000000000001</v>
      </c>
      <c r="S701">
        <v>0</v>
      </c>
      <c r="T701">
        <v>0</v>
      </c>
      <c r="U701">
        <v>0</v>
      </c>
      <c r="V701">
        <f t="shared" si="30"/>
        <v>24.419499999999999</v>
      </c>
      <c r="W701">
        <f t="shared" si="31"/>
        <v>19.893250000000002</v>
      </c>
      <c r="X701">
        <f t="shared" si="32"/>
        <v>19.53425</v>
      </c>
      <c r="Y701">
        <v>13</v>
      </c>
      <c r="Z701" s="2" t="s">
        <v>26</v>
      </c>
    </row>
    <row r="702" spans="1:26" x14ac:dyDescent="0.25">
      <c r="A702">
        <v>628</v>
      </c>
      <c r="B702">
        <v>80</v>
      </c>
      <c r="C702" t="s">
        <v>22</v>
      </c>
      <c r="D702" t="s">
        <v>29</v>
      </c>
      <c r="E702" t="s">
        <v>30</v>
      </c>
      <c r="F702" t="s">
        <v>659</v>
      </c>
      <c r="G702" t="str">
        <f>VLOOKUP(F702,Hospitals!E:H,4,FALSE)</f>
        <v>28.44633 , 76.9916</v>
      </c>
      <c r="H702" s="1">
        <v>45467</v>
      </c>
      <c r="I702" s="1">
        <v>45467</v>
      </c>
      <c r="J702">
        <v>83.438999999999993</v>
      </c>
      <c r="K702">
        <v>80.472999999999999</v>
      </c>
      <c r="L702">
        <v>77.840999999999994</v>
      </c>
      <c r="M702">
        <v>58.823999999999998</v>
      </c>
      <c r="N702">
        <v>60.87</v>
      </c>
      <c r="O702">
        <v>60.87</v>
      </c>
      <c r="P702">
        <v>58.823999999999998</v>
      </c>
      <c r="Q702">
        <v>60.87</v>
      </c>
      <c r="R702">
        <v>60.87</v>
      </c>
      <c r="S702">
        <v>40</v>
      </c>
      <c r="T702">
        <v>25</v>
      </c>
      <c r="U702">
        <v>7.1429999999999998</v>
      </c>
      <c r="V702">
        <f t="shared" si="30"/>
        <v>60.271749999999997</v>
      </c>
      <c r="W702">
        <f t="shared" si="31"/>
        <v>56.803249999999998</v>
      </c>
      <c r="X702">
        <f t="shared" si="32"/>
        <v>51.680999999999997</v>
      </c>
      <c r="Y702">
        <v>13</v>
      </c>
      <c r="Z702" s="2" t="s">
        <v>31</v>
      </c>
    </row>
    <row r="703" spans="1:26" x14ac:dyDescent="0.25">
      <c r="A703">
        <v>1089</v>
      </c>
      <c r="B703">
        <v>800</v>
      </c>
      <c r="C703" t="s">
        <v>22</v>
      </c>
      <c r="D703" t="s">
        <v>32</v>
      </c>
      <c r="E703" t="s">
        <v>30</v>
      </c>
      <c r="F703" t="s">
        <v>621</v>
      </c>
      <c r="G703" t="str">
        <f>VLOOKUP(F703,Hospitals!E:H,4,FALSE)</f>
        <v>29.80146 , 76.41571</v>
      </c>
      <c r="H703" s="1">
        <v>45589</v>
      </c>
      <c r="I703" s="1">
        <v>45589</v>
      </c>
      <c r="J703">
        <v>94.903999999999996</v>
      </c>
      <c r="K703">
        <v>94.082999999999998</v>
      </c>
      <c r="L703">
        <v>90.909000000000006</v>
      </c>
      <c r="M703">
        <v>94.117999999999995</v>
      </c>
      <c r="N703">
        <v>95.652000000000001</v>
      </c>
      <c r="O703">
        <v>95.652000000000001</v>
      </c>
      <c r="P703">
        <v>94.117999999999995</v>
      </c>
      <c r="Q703">
        <v>95.652000000000001</v>
      </c>
      <c r="R703">
        <v>95.652000000000001</v>
      </c>
      <c r="S703">
        <v>40</v>
      </c>
      <c r="T703">
        <v>25</v>
      </c>
      <c r="U703">
        <v>7.1429999999999998</v>
      </c>
      <c r="V703">
        <f t="shared" si="30"/>
        <v>80.784999999999997</v>
      </c>
      <c r="W703">
        <f t="shared" si="31"/>
        <v>77.59675</v>
      </c>
      <c r="X703">
        <f t="shared" si="32"/>
        <v>72.338999999999999</v>
      </c>
      <c r="Y703">
        <v>13</v>
      </c>
      <c r="Z703" s="2" t="s">
        <v>34</v>
      </c>
    </row>
    <row r="704" spans="1:26" x14ac:dyDescent="0.25">
      <c r="A704">
        <v>1082</v>
      </c>
      <c r="B704">
        <v>801</v>
      </c>
      <c r="C704" t="s">
        <v>22</v>
      </c>
      <c r="D704" t="s">
        <v>32</v>
      </c>
      <c r="E704" t="s">
        <v>30</v>
      </c>
      <c r="F704" t="s">
        <v>660</v>
      </c>
      <c r="G704" t="str">
        <f>VLOOKUP(F704,Hospitals!E:H,4,FALSE)</f>
        <v>29.70623 , 75.85629</v>
      </c>
      <c r="H704" s="1">
        <v>45588</v>
      </c>
      <c r="I704" s="1">
        <v>45588</v>
      </c>
      <c r="J704">
        <v>86.623999999999995</v>
      </c>
      <c r="K704">
        <v>84.024000000000001</v>
      </c>
      <c r="L704">
        <v>81.817999999999998</v>
      </c>
      <c r="M704">
        <v>100</v>
      </c>
      <c r="N704">
        <v>95.652000000000001</v>
      </c>
      <c r="O704">
        <v>95.652000000000001</v>
      </c>
      <c r="P704">
        <v>100</v>
      </c>
      <c r="Q704">
        <v>95.652000000000001</v>
      </c>
      <c r="R704">
        <v>95.652000000000001</v>
      </c>
      <c r="S704">
        <v>30</v>
      </c>
      <c r="T704">
        <v>41.667000000000002</v>
      </c>
      <c r="U704">
        <v>21.428999999999998</v>
      </c>
      <c r="V704">
        <f t="shared" si="30"/>
        <v>79.156000000000006</v>
      </c>
      <c r="W704">
        <f t="shared" si="31"/>
        <v>79.248750000000001</v>
      </c>
      <c r="X704">
        <f t="shared" si="32"/>
        <v>73.637749999999997</v>
      </c>
      <c r="Y704">
        <v>13</v>
      </c>
      <c r="Z704" s="2" t="s">
        <v>34</v>
      </c>
    </row>
    <row r="705" spans="1:26" x14ac:dyDescent="0.25">
      <c r="A705">
        <v>1083</v>
      </c>
      <c r="B705">
        <v>803</v>
      </c>
      <c r="C705" t="s">
        <v>22</v>
      </c>
      <c r="D705" t="s">
        <v>32</v>
      </c>
      <c r="E705" t="s">
        <v>30</v>
      </c>
      <c r="F705" t="s">
        <v>626</v>
      </c>
      <c r="G705" t="str">
        <f>VLOOKUP(F705,Hospitals!E:H,4,FALSE)</f>
        <v>29.50431 , 75.46798</v>
      </c>
      <c r="H705" s="1">
        <v>45589</v>
      </c>
      <c r="I705" s="1">
        <v>45589</v>
      </c>
      <c r="J705">
        <v>99.363</v>
      </c>
      <c r="K705">
        <v>98.816999999999993</v>
      </c>
      <c r="L705">
        <v>96.590999999999994</v>
      </c>
      <c r="M705">
        <v>100</v>
      </c>
      <c r="N705">
        <v>100</v>
      </c>
      <c r="O705">
        <v>100</v>
      </c>
      <c r="P705">
        <v>100</v>
      </c>
      <c r="Q705">
        <v>100</v>
      </c>
      <c r="R705">
        <v>100</v>
      </c>
      <c r="S705">
        <v>50</v>
      </c>
      <c r="T705">
        <v>33.332999999999998</v>
      </c>
      <c r="U705">
        <v>14.286</v>
      </c>
      <c r="V705">
        <f t="shared" si="30"/>
        <v>87.34075</v>
      </c>
      <c r="W705">
        <f t="shared" si="31"/>
        <v>83.037499999999994</v>
      </c>
      <c r="X705">
        <f t="shared" si="32"/>
        <v>77.719250000000002</v>
      </c>
      <c r="Y705">
        <v>13</v>
      </c>
      <c r="Z705" s="2" t="s">
        <v>34</v>
      </c>
    </row>
    <row r="706" spans="1:26" x14ac:dyDescent="0.25">
      <c r="A706">
        <v>802</v>
      </c>
      <c r="B706">
        <v>804</v>
      </c>
      <c r="C706" t="s">
        <v>22</v>
      </c>
      <c r="D706" t="s">
        <v>32</v>
      </c>
      <c r="E706" t="s">
        <v>77</v>
      </c>
      <c r="F706" t="s">
        <v>661</v>
      </c>
      <c r="G706" t="str">
        <f>VLOOKUP(F706,Hospitals!E:H,4,FALSE)</f>
        <v>29.68423 , 75.57061</v>
      </c>
      <c r="H706" s="1">
        <v>45464</v>
      </c>
      <c r="I706" s="1">
        <v>45587</v>
      </c>
      <c r="J706">
        <v>63.694000000000003</v>
      </c>
      <c r="K706">
        <v>60.947000000000003</v>
      </c>
      <c r="L706">
        <v>59.091000000000001</v>
      </c>
      <c r="M706">
        <v>41.176000000000002</v>
      </c>
      <c r="N706">
        <v>39.130000000000003</v>
      </c>
      <c r="O706">
        <v>39.130000000000003</v>
      </c>
      <c r="P706">
        <v>41.176000000000002</v>
      </c>
      <c r="Q706">
        <v>39.130000000000003</v>
      </c>
      <c r="R706">
        <v>39.130000000000003</v>
      </c>
      <c r="S706">
        <v>10</v>
      </c>
      <c r="T706">
        <v>8.3330000000000002</v>
      </c>
      <c r="U706">
        <v>0</v>
      </c>
      <c r="V706">
        <f t="shared" si="30"/>
        <v>39.011499999999998</v>
      </c>
      <c r="W706">
        <f t="shared" si="31"/>
        <v>36.884999999999998</v>
      </c>
      <c r="X706">
        <f t="shared" si="32"/>
        <v>34.33775</v>
      </c>
      <c r="Y706">
        <v>13</v>
      </c>
      <c r="Z706" s="2" t="s">
        <v>34</v>
      </c>
    </row>
    <row r="707" spans="1:26" x14ac:dyDescent="0.25">
      <c r="A707">
        <v>790</v>
      </c>
      <c r="B707">
        <v>805</v>
      </c>
      <c r="C707" t="s">
        <v>22</v>
      </c>
      <c r="D707" t="s">
        <v>32</v>
      </c>
      <c r="E707" t="s">
        <v>77</v>
      </c>
      <c r="F707" t="s">
        <v>662</v>
      </c>
      <c r="G707" t="str">
        <f>VLOOKUP(F707,Hospitals!E:H,4,FALSE)</f>
        <v>28.90345 , 76.57194</v>
      </c>
      <c r="H707" s="1">
        <v>45456</v>
      </c>
      <c r="I707" s="1">
        <v>45456</v>
      </c>
      <c r="J707">
        <v>52.228999999999999</v>
      </c>
      <c r="K707">
        <v>49.112000000000002</v>
      </c>
      <c r="L707">
        <v>47.726999999999997</v>
      </c>
      <c r="M707">
        <v>29.411999999999999</v>
      </c>
      <c r="N707">
        <v>21.739000000000001</v>
      </c>
      <c r="O707">
        <v>21.739000000000001</v>
      </c>
      <c r="P707">
        <v>29.411999999999999</v>
      </c>
      <c r="Q707">
        <v>21.739000000000001</v>
      </c>
      <c r="R707">
        <v>21.739000000000001</v>
      </c>
      <c r="S707">
        <v>20</v>
      </c>
      <c r="T707">
        <v>16.667000000000002</v>
      </c>
      <c r="U707">
        <v>14.286</v>
      </c>
      <c r="V707">
        <f t="shared" ref="V707:V770" si="33">AVERAGE(J707,M707,P707,S707)</f>
        <v>32.763249999999999</v>
      </c>
      <c r="W707">
        <f t="shared" ref="W707:W770" si="34">AVERAGE(K707,N707,Q707,T707)</f>
        <v>27.314250000000001</v>
      </c>
      <c r="X707">
        <f t="shared" ref="X707:X770" si="35">AVERAGE(L707,O707,R707,U707)</f>
        <v>26.37275</v>
      </c>
      <c r="Y707">
        <v>13</v>
      </c>
      <c r="Z707" s="2" t="s">
        <v>34</v>
      </c>
    </row>
    <row r="708" spans="1:26" x14ac:dyDescent="0.25">
      <c r="A708">
        <v>516</v>
      </c>
      <c r="B708">
        <v>806</v>
      </c>
      <c r="C708" t="s">
        <v>22</v>
      </c>
      <c r="D708" t="s">
        <v>508</v>
      </c>
      <c r="E708" t="s">
        <v>30</v>
      </c>
      <c r="F708" t="s">
        <v>663</v>
      </c>
      <c r="G708" t="str">
        <f>VLOOKUP(F708,Hospitals!E:H,4,FALSE)</f>
        <v>28.39565 , 77.28994</v>
      </c>
      <c r="H708" s="1">
        <v>45379</v>
      </c>
      <c r="I708" s="1">
        <v>45379</v>
      </c>
      <c r="J708">
        <v>87.897999999999996</v>
      </c>
      <c r="K708">
        <v>88.165999999999997</v>
      </c>
      <c r="L708">
        <v>86.932000000000002</v>
      </c>
      <c r="M708">
        <v>82.352999999999994</v>
      </c>
      <c r="N708">
        <v>78.260999999999996</v>
      </c>
      <c r="O708">
        <v>78.260999999999996</v>
      </c>
      <c r="P708">
        <v>82.352999999999994</v>
      </c>
      <c r="Q708">
        <v>78.260999999999996</v>
      </c>
      <c r="R708">
        <v>78.260999999999996</v>
      </c>
      <c r="S708">
        <v>40</v>
      </c>
      <c r="T708">
        <v>25</v>
      </c>
      <c r="U708">
        <v>7.1429999999999998</v>
      </c>
      <c r="V708">
        <f t="shared" si="33"/>
        <v>73.150999999999996</v>
      </c>
      <c r="W708">
        <f t="shared" si="34"/>
        <v>67.421999999999997</v>
      </c>
      <c r="X708">
        <f t="shared" si="35"/>
        <v>62.649249999999995</v>
      </c>
      <c r="Y708">
        <v>13</v>
      </c>
      <c r="Z708" s="2" t="s">
        <v>510</v>
      </c>
    </row>
    <row r="709" spans="1:26" x14ac:dyDescent="0.25">
      <c r="A709">
        <v>650</v>
      </c>
      <c r="B709">
        <v>807</v>
      </c>
      <c r="C709" t="s">
        <v>22</v>
      </c>
      <c r="D709" t="s">
        <v>453</v>
      </c>
      <c r="E709" t="s">
        <v>30</v>
      </c>
      <c r="F709" t="s">
        <v>664</v>
      </c>
      <c r="G709" t="str">
        <f>VLOOKUP(F709,Hospitals!E:H,4,FALSE)</f>
        <v>30.90096 , 75.85728</v>
      </c>
      <c r="H709" s="1">
        <v>45422</v>
      </c>
      <c r="I709" s="1">
        <v>45422</v>
      </c>
      <c r="J709">
        <v>99.363</v>
      </c>
      <c r="K709">
        <v>98.816999999999993</v>
      </c>
      <c r="L709">
        <v>97.727000000000004</v>
      </c>
      <c r="M709">
        <v>94.117999999999995</v>
      </c>
      <c r="N709">
        <v>91.304000000000002</v>
      </c>
      <c r="O709">
        <v>91.304000000000002</v>
      </c>
      <c r="P709">
        <v>94.117999999999995</v>
      </c>
      <c r="Q709">
        <v>91.304000000000002</v>
      </c>
      <c r="R709">
        <v>91.304000000000002</v>
      </c>
      <c r="S709">
        <v>20</v>
      </c>
      <c r="T709">
        <v>16.667000000000002</v>
      </c>
      <c r="U709">
        <v>7.1429999999999998</v>
      </c>
      <c r="V709">
        <f t="shared" si="33"/>
        <v>76.899749999999997</v>
      </c>
      <c r="W709">
        <f t="shared" si="34"/>
        <v>74.522999999999996</v>
      </c>
      <c r="X709">
        <f t="shared" si="35"/>
        <v>71.869500000000002</v>
      </c>
      <c r="Y709">
        <v>13</v>
      </c>
      <c r="Z709" s="2" t="s">
        <v>455</v>
      </c>
    </row>
    <row r="710" spans="1:26" x14ac:dyDescent="0.25">
      <c r="A710">
        <v>607</v>
      </c>
      <c r="B710">
        <v>808</v>
      </c>
      <c r="C710" t="s">
        <v>22</v>
      </c>
      <c r="D710" t="s">
        <v>453</v>
      </c>
      <c r="E710" t="s">
        <v>30</v>
      </c>
      <c r="F710" t="s">
        <v>665</v>
      </c>
      <c r="G710" t="str">
        <f>VLOOKUP(F710,Hospitals!E:H,4,FALSE)</f>
        <v>29.5401 , 75.04285</v>
      </c>
      <c r="H710" s="1">
        <v>45423</v>
      </c>
      <c r="I710" s="1">
        <v>45423</v>
      </c>
      <c r="J710">
        <v>75.796000000000006</v>
      </c>
      <c r="K710">
        <v>72.188999999999993</v>
      </c>
      <c r="L710">
        <v>69.885999999999996</v>
      </c>
      <c r="M710">
        <v>35.293999999999997</v>
      </c>
      <c r="N710">
        <v>39.130000000000003</v>
      </c>
      <c r="O710">
        <v>39.130000000000003</v>
      </c>
      <c r="P710">
        <v>35.293999999999997</v>
      </c>
      <c r="Q710">
        <v>39.130000000000003</v>
      </c>
      <c r="R710">
        <v>39.130000000000003</v>
      </c>
      <c r="S710">
        <v>10</v>
      </c>
      <c r="T710">
        <v>8.3330000000000002</v>
      </c>
      <c r="U710">
        <v>0</v>
      </c>
      <c r="V710">
        <f t="shared" si="33"/>
        <v>39.096000000000004</v>
      </c>
      <c r="W710">
        <f t="shared" si="34"/>
        <v>39.695499999999996</v>
      </c>
      <c r="X710">
        <f t="shared" si="35"/>
        <v>37.036499999999997</v>
      </c>
      <c r="Y710">
        <v>13</v>
      </c>
      <c r="Z710" s="2" t="s">
        <v>455</v>
      </c>
    </row>
    <row r="711" spans="1:26" x14ac:dyDescent="0.25">
      <c r="A711">
        <v>644</v>
      </c>
      <c r="B711">
        <v>809</v>
      </c>
      <c r="C711" t="s">
        <v>22</v>
      </c>
      <c r="D711" t="s">
        <v>453</v>
      </c>
      <c r="E711" t="s">
        <v>30</v>
      </c>
      <c r="F711" t="s">
        <v>666</v>
      </c>
      <c r="G711" t="str">
        <f>VLOOKUP(F711,Hospitals!E:H,4,FALSE)</f>
        <v>29.96037 , 74.70663</v>
      </c>
      <c r="H711" s="1">
        <v>45406</v>
      </c>
      <c r="I711" s="1">
        <v>45421</v>
      </c>
      <c r="J711">
        <v>94.903999999999996</v>
      </c>
      <c r="K711">
        <v>93.491</v>
      </c>
      <c r="L711">
        <v>90.340999999999994</v>
      </c>
      <c r="M711">
        <v>76.471000000000004</v>
      </c>
      <c r="N711">
        <v>78.260999999999996</v>
      </c>
      <c r="O711">
        <v>78.260999999999996</v>
      </c>
      <c r="P711">
        <v>76.471000000000004</v>
      </c>
      <c r="Q711">
        <v>78.260999999999996</v>
      </c>
      <c r="R711">
        <v>78.260999999999996</v>
      </c>
      <c r="S711">
        <v>0</v>
      </c>
      <c r="T711">
        <v>0</v>
      </c>
      <c r="U711">
        <v>0</v>
      </c>
      <c r="V711">
        <f t="shared" si="33"/>
        <v>61.961500000000001</v>
      </c>
      <c r="W711">
        <f t="shared" si="34"/>
        <v>62.503250000000001</v>
      </c>
      <c r="X711">
        <f t="shared" si="35"/>
        <v>61.715749999999993</v>
      </c>
      <c r="Y711">
        <v>13</v>
      </c>
      <c r="Z711" s="2" t="s">
        <v>455</v>
      </c>
    </row>
    <row r="712" spans="1:26" x14ac:dyDescent="0.25">
      <c r="A712">
        <v>717</v>
      </c>
      <c r="B712">
        <v>809</v>
      </c>
      <c r="C712" t="s">
        <v>22</v>
      </c>
      <c r="D712" t="s">
        <v>453</v>
      </c>
      <c r="E712" t="s">
        <v>30</v>
      </c>
      <c r="F712" t="s">
        <v>666</v>
      </c>
      <c r="G712" t="str">
        <f>VLOOKUP(F712,Hospitals!E:H,4,FALSE)</f>
        <v>29.96037 , 74.70663</v>
      </c>
      <c r="H712" s="1">
        <v>45421</v>
      </c>
      <c r="I712" s="1">
        <v>45421</v>
      </c>
      <c r="J712">
        <v>94.903999999999996</v>
      </c>
      <c r="K712">
        <v>93.491</v>
      </c>
      <c r="L712">
        <v>90.340999999999994</v>
      </c>
      <c r="M712">
        <v>76.471000000000004</v>
      </c>
      <c r="N712">
        <v>78.260999999999996</v>
      </c>
      <c r="O712">
        <v>78.260999999999996</v>
      </c>
      <c r="P712">
        <v>76.471000000000004</v>
      </c>
      <c r="Q712">
        <v>78.260999999999996</v>
      </c>
      <c r="R712">
        <v>78.260999999999996</v>
      </c>
      <c r="S712">
        <v>0</v>
      </c>
      <c r="T712">
        <v>0</v>
      </c>
      <c r="U712">
        <v>0</v>
      </c>
      <c r="V712">
        <f t="shared" si="33"/>
        <v>61.961500000000001</v>
      </c>
      <c r="W712">
        <f t="shared" si="34"/>
        <v>62.503250000000001</v>
      </c>
      <c r="X712">
        <f t="shared" si="35"/>
        <v>61.715749999999993</v>
      </c>
      <c r="Y712">
        <v>13</v>
      </c>
      <c r="Z712" s="2" t="s">
        <v>455</v>
      </c>
    </row>
    <row r="713" spans="1:26" x14ac:dyDescent="0.25">
      <c r="A713">
        <v>307</v>
      </c>
      <c r="B713">
        <v>81</v>
      </c>
      <c r="C713" t="s">
        <v>22</v>
      </c>
      <c r="D713" t="s">
        <v>29</v>
      </c>
      <c r="E713" t="s">
        <v>30</v>
      </c>
      <c r="F713" t="s">
        <v>667</v>
      </c>
      <c r="G713" t="str">
        <f>VLOOKUP(F713,Hospitals!E:H,4,FALSE)</f>
        <v>28.61957 , 77.17519</v>
      </c>
      <c r="H713" s="1">
        <v>45397</v>
      </c>
      <c r="I713" s="1">
        <v>45397</v>
      </c>
      <c r="J713">
        <v>89.808999999999997</v>
      </c>
      <c r="K713">
        <v>89.349000000000004</v>
      </c>
      <c r="L713">
        <v>87.5</v>
      </c>
      <c r="M713">
        <v>100</v>
      </c>
      <c r="N713">
        <v>91.304000000000002</v>
      </c>
      <c r="O713">
        <v>91.304000000000002</v>
      </c>
      <c r="P713">
        <v>100</v>
      </c>
      <c r="Q713">
        <v>91.304000000000002</v>
      </c>
      <c r="R713">
        <v>91.304000000000002</v>
      </c>
      <c r="S713">
        <v>50</v>
      </c>
      <c r="T713">
        <v>41.667000000000002</v>
      </c>
      <c r="U713">
        <v>14.286</v>
      </c>
      <c r="V713">
        <f t="shared" si="33"/>
        <v>84.952249999999992</v>
      </c>
      <c r="W713">
        <f t="shared" si="34"/>
        <v>78.406000000000006</v>
      </c>
      <c r="X713">
        <f t="shared" si="35"/>
        <v>71.098500000000001</v>
      </c>
      <c r="Y713">
        <v>13</v>
      </c>
      <c r="Z713" s="2" t="s">
        <v>31</v>
      </c>
    </row>
    <row r="714" spans="1:26" x14ac:dyDescent="0.25">
      <c r="A714">
        <v>660</v>
      </c>
      <c r="B714">
        <v>810</v>
      </c>
      <c r="C714" t="s">
        <v>22</v>
      </c>
      <c r="D714" t="s">
        <v>453</v>
      </c>
      <c r="E714" t="s">
        <v>30</v>
      </c>
      <c r="F714" t="s">
        <v>668</v>
      </c>
      <c r="G714" t="str">
        <f>VLOOKUP(F714,Hospitals!E:H,4,FALSE)</f>
        <v>29.54461 , 75.02606</v>
      </c>
      <c r="H714" s="1">
        <v>45422</v>
      </c>
      <c r="I714" s="1">
        <v>45422</v>
      </c>
      <c r="J714">
        <v>85.35</v>
      </c>
      <c r="K714">
        <v>84.024000000000001</v>
      </c>
      <c r="L714">
        <v>82.385999999999996</v>
      </c>
      <c r="M714">
        <v>94.117999999999995</v>
      </c>
      <c r="N714">
        <v>91.304000000000002</v>
      </c>
      <c r="O714">
        <v>91.304000000000002</v>
      </c>
      <c r="P714">
        <v>94.117999999999995</v>
      </c>
      <c r="Q714">
        <v>91.304000000000002</v>
      </c>
      <c r="R714">
        <v>91.304000000000002</v>
      </c>
      <c r="S714">
        <v>10</v>
      </c>
      <c r="T714">
        <v>8.3330000000000002</v>
      </c>
      <c r="U714">
        <v>7.1429999999999998</v>
      </c>
      <c r="V714">
        <f t="shared" si="33"/>
        <v>70.896500000000003</v>
      </c>
      <c r="W714">
        <f t="shared" si="34"/>
        <v>68.741250000000008</v>
      </c>
      <c r="X714">
        <f t="shared" si="35"/>
        <v>68.03425</v>
      </c>
      <c r="Y714">
        <v>13</v>
      </c>
      <c r="Z714" s="2" t="s">
        <v>455</v>
      </c>
    </row>
    <row r="715" spans="1:26" x14ac:dyDescent="0.25">
      <c r="A715">
        <v>665</v>
      </c>
      <c r="B715">
        <v>811</v>
      </c>
      <c r="C715" t="s">
        <v>22</v>
      </c>
      <c r="D715" t="s">
        <v>453</v>
      </c>
      <c r="E715" t="s">
        <v>30</v>
      </c>
      <c r="F715" t="s">
        <v>669</v>
      </c>
      <c r="G715" t="str">
        <f>VLOOKUP(F715,Hospitals!E:H,4,FALSE)</f>
        <v>29.95411 , 74.69968</v>
      </c>
      <c r="H715" s="1">
        <v>45406</v>
      </c>
      <c r="I715" s="1">
        <v>45406</v>
      </c>
      <c r="J715">
        <v>68.153000000000006</v>
      </c>
      <c r="K715">
        <v>64.497</v>
      </c>
      <c r="L715">
        <v>61.932000000000002</v>
      </c>
      <c r="M715">
        <v>58.823999999999998</v>
      </c>
      <c r="N715">
        <v>56.521999999999998</v>
      </c>
      <c r="O715">
        <v>56.521999999999998</v>
      </c>
      <c r="P715">
        <v>58.823999999999998</v>
      </c>
      <c r="Q715">
        <v>56.521999999999998</v>
      </c>
      <c r="R715">
        <v>56.521999999999998</v>
      </c>
      <c r="S715">
        <v>0</v>
      </c>
      <c r="T715">
        <v>0</v>
      </c>
      <c r="U715">
        <v>0</v>
      </c>
      <c r="V715">
        <f t="shared" si="33"/>
        <v>46.450249999999997</v>
      </c>
      <c r="W715">
        <f t="shared" si="34"/>
        <v>44.385249999999999</v>
      </c>
      <c r="X715">
        <f t="shared" si="35"/>
        <v>43.744</v>
      </c>
      <c r="Y715">
        <v>13</v>
      </c>
      <c r="Z715" s="2" t="s">
        <v>455</v>
      </c>
    </row>
    <row r="716" spans="1:26" x14ac:dyDescent="0.25">
      <c r="A716">
        <v>923</v>
      </c>
      <c r="B716">
        <v>812</v>
      </c>
      <c r="C716" t="s">
        <v>22</v>
      </c>
      <c r="D716" t="s">
        <v>453</v>
      </c>
      <c r="E716" t="s">
        <v>30</v>
      </c>
      <c r="F716" t="s">
        <v>670</v>
      </c>
      <c r="G716" t="str">
        <f>VLOOKUP(F716,Hospitals!E:H,4,FALSE)</f>
        <v>29.53911 , 75.03165</v>
      </c>
      <c r="H716" s="1">
        <v>45496</v>
      </c>
      <c r="I716" s="1">
        <v>45496</v>
      </c>
      <c r="J716">
        <v>73.885000000000005</v>
      </c>
      <c r="K716">
        <v>70.414000000000001</v>
      </c>
      <c r="L716">
        <v>67.614000000000004</v>
      </c>
      <c r="M716">
        <v>64.706000000000003</v>
      </c>
      <c r="N716">
        <v>60.87</v>
      </c>
      <c r="O716">
        <v>60.87</v>
      </c>
      <c r="P716">
        <v>64.706000000000003</v>
      </c>
      <c r="Q716">
        <v>60.87</v>
      </c>
      <c r="R716">
        <v>60.87</v>
      </c>
      <c r="S716">
        <v>0</v>
      </c>
      <c r="T716">
        <v>0</v>
      </c>
      <c r="U716">
        <v>0</v>
      </c>
      <c r="V716">
        <f t="shared" si="33"/>
        <v>50.824250000000006</v>
      </c>
      <c r="W716">
        <f t="shared" si="34"/>
        <v>48.038499999999999</v>
      </c>
      <c r="X716">
        <f t="shared" si="35"/>
        <v>47.338500000000003</v>
      </c>
      <c r="Y716">
        <v>13</v>
      </c>
      <c r="Z716" s="2" t="s">
        <v>455</v>
      </c>
    </row>
    <row r="717" spans="1:26" x14ac:dyDescent="0.25">
      <c r="A717">
        <v>589</v>
      </c>
      <c r="B717">
        <v>813</v>
      </c>
      <c r="C717" t="s">
        <v>22</v>
      </c>
      <c r="D717" t="s">
        <v>453</v>
      </c>
      <c r="E717" t="s">
        <v>30</v>
      </c>
      <c r="F717" t="s">
        <v>671</v>
      </c>
      <c r="G717" t="str">
        <f>VLOOKUP(F717,Hospitals!E:H,4,FALSE)</f>
        <v>29.52464 , 75.04869</v>
      </c>
      <c r="H717" s="1">
        <v>45409</v>
      </c>
      <c r="I717" s="1">
        <v>45409</v>
      </c>
      <c r="J717">
        <v>98.725999999999999</v>
      </c>
      <c r="K717">
        <v>97.632999999999996</v>
      </c>
      <c r="L717">
        <v>96.590999999999994</v>
      </c>
      <c r="M717">
        <v>88.234999999999999</v>
      </c>
      <c r="N717">
        <v>82.608999999999995</v>
      </c>
      <c r="O717">
        <v>82.608999999999995</v>
      </c>
      <c r="P717">
        <v>88.234999999999999</v>
      </c>
      <c r="Q717">
        <v>82.608999999999995</v>
      </c>
      <c r="R717">
        <v>82.608999999999995</v>
      </c>
      <c r="S717">
        <v>10</v>
      </c>
      <c r="T717">
        <v>16.667000000000002</v>
      </c>
      <c r="U717">
        <v>7.1429999999999998</v>
      </c>
      <c r="V717">
        <f t="shared" si="33"/>
        <v>71.299000000000007</v>
      </c>
      <c r="W717">
        <f t="shared" si="34"/>
        <v>69.879500000000007</v>
      </c>
      <c r="X717">
        <f t="shared" si="35"/>
        <v>67.237999999999985</v>
      </c>
      <c r="Y717">
        <v>13</v>
      </c>
      <c r="Z717" s="2" t="s">
        <v>455</v>
      </c>
    </row>
    <row r="718" spans="1:26" x14ac:dyDescent="0.25">
      <c r="A718">
        <v>661</v>
      </c>
      <c r="B718">
        <v>814</v>
      </c>
      <c r="C718" t="s">
        <v>22</v>
      </c>
      <c r="D718" t="s">
        <v>453</v>
      </c>
      <c r="E718" t="s">
        <v>30</v>
      </c>
      <c r="F718" t="s">
        <v>672</v>
      </c>
      <c r="G718" t="str">
        <f>VLOOKUP(F718,Hospitals!E:H,4,FALSE)</f>
        <v>30.90096 , 75.85728</v>
      </c>
      <c r="H718" s="1">
        <v>45423</v>
      </c>
      <c r="I718" s="1">
        <v>45423</v>
      </c>
      <c r="J718">
        <v>85.35</v>
      </c>
      <c r="K718">
        <v>84.614999999999995</v>
      </c>
      <c r="L718">
        <v>83.522999999999996</v>
      </c>
      <c r="M718">
        <v>64.706000000000003</v>
      </c>
      <c r="N718">
        <v>69.564999999999998</v>
      </c>
      <c r="O718">
        <v>69.564999999999998</v>
      </c>
      <c r="P718">
        <v>64.706000000000003</v>
      </c>
      <c r="Q718">
        <v>69.564999999999998</v>
      </c>
      <c r="R718">
        <v>69.564999999999998</v>
      </c>
      <c r="S718">
        <v>30</v>
      </c>
      <c r="T718">
        <v>16.667000000000002</v>
      </c>
      <c r="U718">
        <v>7.1429999999999998</v>
      </c>
      <c r="V718">
        <f t="shared" si="33"/>
        <v>61.1905</v>
      </c>
      <c r="W718">
        <f t="shared" si="34"/>
        <v>60.103000000000002</v>
      </c>
      <c r="X718">
        <f t="shared" si="35"/>
        <v>57.448999999999998</v>
      </c>
      <c r="Y718">
        <v>13</v>
      </c>
      <c r="Z718" s="2" t="s">
        <v>455</v>
      </c>
    </row>
    <row r="719" spans="1:26" x14ac:dyDescent="0.25">
      <c r="A719">
        <v>642</v>
      </c>
      <c r="B719">
        <v>815</v>
      </c>
      <c r="C719" t="s">
        <v>22</v>
      </c>
      <c r="D719" t="s">
        <v>453</v>
      </c>
      <c r="E719" t="s">
        <v>30</v>
      </c>
      <c r="F719" t="s">
        <v>673</v>
      </c>
      <c r="G719" t="str">
        <f>VLOOKUP(F719,Hospitals!E:H,4,FALSE)</f>
        <v>30.90096 , 75.85728</v>
      </c>
      <c r="H719" s="1">
        <v>45405</v>
      </c>
      <c r="I719" s="1">
        <v>45405</v>
      </c>
      <c r="J719">
        <v>76.433000000000007</v>
      </c>
      <c r="K719">
        <v>74.555999999999997</v>
      </c>
      <c r="L719">
        <v>72.159000000000006</v>
      </c>
      <c r="M719">
        <v>94.117999999999995</v>
      </c>
      <c r="N719">
        <v>91.304000000000002</v>
      </c>
      <c r="O719">
        <v>91.304000000000002</v>
      </c>
      <c r="P719">
        <v>94.117999999999995</v>
      </c>
      <c r="Q719">
        <v>91.304000000000002</v>
      </c>
      <c r="R719">
        <v>91.304000000000002</v>
      </c>
      <c r="S719">
        <v>0</v>
      </c>
      <c r="T719">
        <v>0</v>
      </c>
      <c r="U719">
        <v>0</v>
      </c>
      <c r="V719">
        <f t="shared" si="33"/>
        <v>66.167249999999996</v>
      </c>
      <c r="W719">
        <f t="shared" si="34"/>
        <v>64.290999999999997</v>
      </c>
      <c r="X719">
        <f t="shared" si="35"/>
        <v>63.691750000000006</v>
      </c>
      <c r="Y719">
        <v>13</v>
      </c>
      <c r="Z719" s="2" t="s">
        <v>455</v>
      </c>
    </row>
    <row r="720" spans="1:26" x14ac:dyDescent="0.25">
      <c r="A720">
        <v>645</v>
      </c>
      <c r="B720">
        <v>816</v>
      </c>
      <c r="C720" t="s">
        <v>22</v>
      </c>
      <c r="D720" t="s">
        <v>453</v>
      </c>
      <c r="E720" t="s">
        <v>30</v>
      </c>
      <c r="F720" t="s">
        <v>674</v>
      </c>
      <c r="G720" t="str">
        <f>VLOOKUP(F720,Hospitals!E:H,4,FALSE)</f>
        <v>29.53723 , 75.0269</v>
      </c>
      <c r="H720" s="1">
        <v>45421</v>
      </c>
      <c r="I720" s="1">
        <v>45421</v>
      </c>
      <c r="J720">
        <v>71.337999999999994</v>
      </c>
      <c r="K720">
        <v>68.046999999999997</v>
      </c>
      <c r="L720">
        <v>65.340999999999994</v>
      </c>
      <c r="M720">
        <v>47.058999999999997</v>
      </c>
      <c r="N720">
        <v>43.478000000000002</v>
      </c>
      <c r="O720">
        <v>43.478000000000002</v>
      </c>
      <c r="P720">
        <v>47.058999999999997</v>
      </c>
      <c r="Q720">
        <v>43.478000000000002</v>
      </c>
      <c r="R720">
        <v>43.478000000000002</v>
      </c>
      <c r="S720">
        <v>20</v>
      </c>
      <c r="T720">
        <v>16.667000000000002</v>
      </c>
      <c r="U720">
        <v>0</v>
      </c>
      <c r="V720">
        <f t="shared" si="33"/>
        <v>46.363999999999997</v>
      </c>
      <c r="W720">
        <f t="shared" si="34"/>
        <v>42.917500000000004</v>
      </c>
      <c r="X720">
        <f t="shared" si="35"/>
        <v>38.074249999999999</v>
      </c>
      <c r="Y720">
        <v>13</v>
      </c>
      <c r="Z720" s="2" t="s">
        <v>455</v>
      </c>
    </row>
    <row r="721" spans="1:26" x14ac:dyDescent="0.25">
      <c r="A721">
        <v>652</v>
      </c>
      <c r="B721">
        <v>817</v>
      </c>
      <c r="C721" t="s">
        <v>22</v>
      </c>
      <c r="D721" t="s">
        <v>453</v>
      </c>
      <c r="E721" t="s">
        <v>30</v>
      </c>
      <c r="F721" t="s">
        <v>45</v>
      </c>
      <c r="G721" t="str">
        <f>VLOOKUP(F721,Hospitals!E:H,4,FALSE)</f>
        <v>30.90096 , 75.85728</v>
      </c>
      <c r="H721" s="1">
        <v>45404</v>
      </c>
      <c r="I721" s="1">
        <v>45404</v>
      </c>
      <c r="J721">
        <v>76.433000000000007</v>
      </c>
      <c r="K721">
        <v>72.781000000000006</v>
      </c>
      <c r="L721">
        <v>72.159000000000006</v>
      </c>
      <c r="M721">
        <v>94.117999999999995</v>
      </c>
      <c r="N721">
        <v>86.956999999999994</v>
      </c>
      <c r="O721">
        <v>86.956999999999994</v>
      </c>
      <c r="P721">
        <v>94.117999999999995</v>
      </c>
      <c r="Q721">
        <v>86.956999999999994</v>
      </c>
      <c r="R721">
        <v>86.956999999999994</v>
      </c>
      <c r="S721">
        <v>0</v>
      </c>
      <c r="T721">
        <v>0</v>
      </c>
      <c r="U721">
        <v>0</v>
      </c>
      <c r="V721">
        <f t="shared" si="33"/>
        <v>66.167249999999996</v>
      </c>
      <c r="W721">
        <f t="shared" si="34"/>
        <v>61.673749999999998</v>
      </c>
      <c r="X721">
        <f t="shared" si="35"/>
        <v>61.518249999999995</v>
      </c>
      <c r="Y721">
        <v>13</v>
      </c>
      <c r="Z721" s="2" t="s">
        <v>455</v>
      </c>
    </row>
    <row r="722" spans="1:26" x14ac:dyDescent="0.25">
      <c r="A722">
        <v>894</v>
      </c>
      <c r="B722">
        <v>818</v>
      </c>
      <c r="C722" t="s">
        <v>22</v>
      </c>
      <c r="D722" t="s">
        <v>453</v>
      </c>
      <c r="E722" t="s">
        <v>30</v>
      </c>
      <c r="F722" t="s">
        <v>675</v>
      </c>
      <c r="G722" t="str">
        <f>VLOOKUP(F722,Hospitals!E:H,4,FALSE)</f>
        <v>30.353 , 74.96008</v>
      </c>
      <c r="H722" s="1">
        <v>45483</v>
      </c>
      <c r="I722" s="1">
        <v>45483</v>
      </c>
      <c r="J722">
        <v>95.540999999999997</v>
      </c>
      <c r="K722">
        <v>95.266000000000005</v>
      </c>
      <c r="L722">
        <v>94.317999999999998</v>
      </c>
      <c r="M722">
        <v>94.117999999999995</v>
      </c>
      <c r="N722">
        <v>95.652000000000001</v>
      </c>
      <c r="O722">
        <v>95.652000000000001</v>
      </c>
      <c r="P722">
        <v>94.117999999999995</v>
      </c>
      <c r="Q722">
        <v>95.652000000000001</v>
      </c>
      <c r="R722">
        <v>95.652000000000001</v>
      </c>
      <c r="S722">
        <v>40</v>
      </c>
      <c r="T722">
        <v>33.332999999999998</v>
      </c>
      <c r="U722">
        <v>35.713999999999999</v>
      </c>
      <c r="V722">
        <f t="shared" si="33"/>
        <v>80.944249999999997</v>
      </c>
      <c r="W722">
        <f t="shared" si="34"/>
        <v>79.975750000000005</v>
      </c>
      <c r="X722">
        <f t="shared" si="35"/>
        <v>80.334000000000003</v>
      </c>
      <c r="Y722">
        <v>13</v>
      </c>
      <c r="Z722" s="2" t="s">
        <v>455</v>
      </c>
    </row>
    <row r="723" spans="1:26" x14ac:dyDescent="0.25">
      <c r="A723">
        <v>619</v>
      </c>
      <c r="B723">
        <v>820</v>
      </c>
      <c r="C723" t="s">
        <v>22</v>
      </c>
      <c r="D723" t="s">
        <v>453</v>
      </c>
      <c r="E723" t="s">
        <v>30</v>
      </c>
      <c r="F723" t="s">
        <v>676</v>
      </c>
      <c r="G723" t="str">
        <f>VLOOKUP(F723,Hospitals!E:H,4,FALSE)</f>
        <v>30.90096 , 75.85728</v>
      </c>
      <c r="H723" s="1">
        <v>45403</v>
      </c>
      <c r="I723" s="1">
        <v>45403</v>
      </c>
      <c r="J723">
        <v>73.248000000000005</v>
      </c>
      <c r="K723">
        <v>71.006</v>
      </c>
      <c r="L723">
        <v>68.182000000000002</v>
      </c>
      <c r="M723">
        <v>94.117999999999995</v>
      </c>
      <c r="N723">
        <v>82.608999999999995</v>
      </c>
      <c r="O723">
        <v>82.608999999999995</v>
      </c>
      <c r="P723">
        <v>94.117999999999995</v>
      </c>
      <c r="Q723">
        <v>82.608999999999995</v>
      </c>
      <c r="R723">
        <v>82.608999999999995</v>
      </c>
      <c r="S723">
        <v>0</v>
      </c>
      <c r="T723">
        <v>0</v>
      </c>
      <c r="U723">
        <v>0</v>
      </c>
      <c r="V723">
        <f t="shared" si="33"/>
        <v>65.370999999999995</v>
      </c>
      <c r="W723">
        <f t="shared" si="34"/>
        <v>59.055999999999997</v>
      </c>
      <c r="X723">
        <f t="shared" si="35"/>
        <v>58.349999999999994</v>
      </c>
      <c r="Y723">
        <v>13</v>
      </c>
      <c r="Z723" s="2" t="s">
        <v>455</v>
      </c>
    </row>
    <row r="724" spans="1:26" x14ac:dyDescent="0.25">
      <c r="A724">
        <v>663</v>
      </c>
      <c r="B724">
        <v>821</v>
      </c>
      <c r="C724" t="s">
        <v>22</v>
      </c>
      <c r="D724" t="s">
        <v>453</v>
      </c>
      <c r="E724" t="s">
        <v>30</v>
      </c>
      <c r="F724" t="s">
        <v>677</v>
      </c>
      <c r="G724" t="str">
        <f>VLOOKUP(F724,Hospitals!E:H,4,FALSE)</f>
        <v>29.53143 , 75.03519</v>
      </c>
      <c r="H724" s="1">
        <v>45406</v>
      </c>
      <c r="I724" t="s">
        <v>35</v>
      </c>
      <c r="J724">
        <v>62.42</v>
      </c>
      <c r="K724">
        <v>59.171999999999997</v>
      </c>
      <c r="L724">
        <v>56.817999999999998</v>
      </c>
      <c r="M724">
        <v>58.823999999999998</v>
      </c>
      <c r="N724">
        <v>56.521999999999998</v>
      </c>
      <c r="O724">
        <v>56.521999999999998</v>
      </c>
      <c r="P724">
        <v>58.823999999999998</v>
      </c>
      <c r="Q724">
        <v>56.521999999999998</v>
      </c>
      <c r="R724">
        <v>56.521999999999998</v>
      </c>
      <c r="S724">
        <v>10</v>
      </c>
      <c r="T724">
        <v>8.3330000000000002</v>
      </c>
      <c r="U724">
        <v>7.1429999999999998</v>
      </c>
      <c r="V724">
        <f t="shared" si="33"/>
        <v>47.516999999999996</v>
      </c>
      <c r="W724">
        <f t="shared" si="34"/>
        <v>45.137249999999995</v>
      </c>
      <c r="X724">
        <f t="shared" si="35"/>
        <v>44.251249999999999</v>
      </c>
      <c r="Y724">
        <v>13</v>
      </c>
      <c r="Z724" s="2" t="s">
        <v>455</v>
      </c>
    </row>
    <row r="725" spans="1:26" x14ac:dyDescent="0.25">
      <c r="A725">
        <v>662</v>
      </c>
      <c r="B725">
        <v>821</v>
      </c>
      <c r="C725" t="s">
        <v>22</v>
      </c>
      <c r="D725" t="s">
        <v>453</v>
      </c>
      <c r="E725" t="s">
        <v>30</v>
      </c>
      <c r="F725" t="s">
        <v>677</v>
      </c>
      <c r="G725" t="str">
        <f>VLOOKUP(F725,Hospitals!E:H,4,FALSE)</f>
        <v>29.53143 , 75.03519</v>
      </c>
      <c r="H725" s="1">
        <v>45406</v>
      </c>
      <c r="I725" s="1">
        <v>45406</v>
      </c>
      <c r="J725">
        <v>62.42</v>
      </c>
      <c r="K725">
        <v>59.171999999999997</v>
      </c>
      <c r="L725">
        <v>56.817999999999998</v>
      </c>
      <c r="M725">
        <v>58.823999999999998</v>
      </c>
      <c r="N725">
        <v>56.521999999999998</v>
      </c>
      <c r="O725">
        <v>56.521999999999998</v>
      </c>
      <c r="P725">
        <v>58.823999999999998</v>
      </c>
      <c r="Q725">
        <v>56.521999999999998</v>
      </c>
      <c r="R725">
        <v>56.521999999999998</v>
      </c>
      <c r="S725">
        <v>10</v>
      </c>
      <c r="T725">
        <v>8.3330000000000002</v>
      </c>
      <c r="U725">
        <v>7.1429999999999998</v>
      </c>
      <c r="V725">
        <f t="shared" si="33"/>
        <v>47.516999999999996</v>
      </c>
      <c r="W725">
        <f t="shared" si="34"/>
        <v>45.137249999999995</v>
      </c>
      <c r="X725">
        <f t="shared" si="35"/>
        <v>44.251249999999999</v>
      </c>
      <c r="Y725">
        <v>13</v>
      </c>
      <c r="Z725" s="2" t="s">
        <v>455</v>
      </c>
    </row>
    <row r="726" spans="1:26" x14ac:dyDescent="0.25">
      <c r="A726">
        <v>718</v>
      </c>
      <c r="B726">
        <v>822</v>
      </c>
      <c r="C726" t="s">
        <v>22</v>
      </c>
      <c r="D726" t="s">
        <v>453</v>
      </c>
      <c r="E726" t="s">
        <v>30</v>
      </c>
      <c r="F726" t="s">
        <v>678</v>
      </c>
      <c r="G726" t="str">
        <f>VLOOKUP(F726,Hospitals!E:H,4,FALSE)</f>
        <v>29.54445 , 75.02917</v>
      </c>
      <c r="H726" s="1">
        <v>45423</v>
      </c>
      <c r="I726" s="1">
        <v>45423</v>
      </c>
      <c r="J726">
        <v>93.631</v>
      </c>
      <c r="K726">
        <v>93.491</v>
      </c>
      <c r="L726">
        <v>90.909000000000006</v>
      </c>
      <c r="M726">
        <v>100</v>
      </c>
      <c r="N726">
        <v>100</v>
      </c>
      <c r="O726">
        <v>100</v>
      </c>
      <c r="P726">
        <v>100</v>
      </c>
      <c r="Q726">
        <v>100</v>
      </c>
      <c r="R726">
        <v>100</v>
      </c>
      <c r="S726">
        <v>10</v>
      </c>
      <c r="T726">
        <v>8.3330000000000002</v>
      </c>
      <c r="U726">
        <v>0</v>
      </c>
      <c r="V726">
        <f t="shared" si="33"/>
        <v>75.907749999999993</v>
      </c>
      <c r="W726">
        <f t="shared" si="34"/>
        <v>75.456000000000003</v>
      </c>
      <c r="X726">
        <f t="shared" si="35"/>
        <v>72.727249999999998</v>
      </c>
      <c r="Y726">
        <v>13</v>
      </c>
      <c r="Z726" s="2" t="s">
        <v>455</v>
      </c>
    </row>
    <row r="727" spans="1:26" x14ac:dyDescent="0.25">
      <c r="A727">
        <v>640</v>
      </c>
      <c r="B727">
        <v>823</v>
      </c>
      <c r="C727" t="s">
        <v>22</v>
      </c>
      <c r="D727" t="s">
        <v>453</v>
      </c>
      <c r="E727" t="s">
        <v>30</v>
      </c>
      <c r="F727" t="s">
        <v>679</v>
      </c>
      <c r="G727" t="str">
        <f>VLOOKUP(F727,Hospitals!E:H,4,FALSE)</f>
        <v>30.70508 , 76.76202</v>
      </c>
      <c r="H727" s="1">
        <v>45398</v>
      </c>
      <c r="I727" s="1">
        <v>45398</v>
      </c>
      <c r="J727">
        <v>80.891999999999996</v>
      </c>
      <c r="K727">
        <v>78.697999999999993</v>
      </c>
      <c r="L727">
        <v>76.135999999999996</v>
      </c>
      <c r="M727">
        <v>82.352999999999994</v>
      </c>
      <c r="N727">
        <v>73.912999999999997</v>
      </c>
      <c r="O727">
        <v>73.912999999999997</v>
      </c>
      <c r="P727">
        <v>82.352999999999994</v>
      </c>
      <c r="Q727">
        <v>73.912999999999997</v>
      </c>
      <c r="R727">
        <v>73.912999999999997</v>
      </c>
      <c r="S727">
        <v>0</v>
      </c>
      <c r="T727">
        <v>0</v>
      </c>
      <c r="U727">
        <v>0</v>
      </c>
      <c r="V727">
        <f t="shared" si="33"/>
        <v>61.399500000000003</v>
      </c>
      <c r="W727">
        <f t="shared" si="34"/>
        <v>56.631</v>
      </c>
      <c r="X727">
        <f t="shared" si="35"/>
        <v>55.990499999999997</v>
      </c>
      <c r="Y727">
        <v>13</v>
      </c>
      <c r="Z727" s="2" t="s">
        <v>455</v>
      </c>
    </row>
    <row r="728" spans="1:26" x14ac:dyDescent="0.25">
      <c r="A728">
        <v>594</v>
      </c>
      <c r="B728">
        <v>824</v>
      </c>
      <c r="C728" t="s">
        <v>22</v>
      </c>
      <c r="D728" t="s">
        <v>453</v>
      </c>
      <c r="E728" t="s">
        <v>30</v>
      </c>
      <c r="F728" t="s">
        <v>680</v>
      </c>
      <c r="G728" t="str">
        <f>VLOOKUP(F728,Hospitals!E:H,4,FALSE)</f>
        <v>29.56329 , 75.02889</v>
      </c>
      <c r="H728" s="1">
        <v>45409</v>
      </c>
      <c r="I728" s="1">
        <v>45409</v>
      </c>
      <c r="J728">
        <v>99.363</v>
      </c>
      <c r="K728">
        <v>98.816999999999993</v>
      </c>
      <c r="L728">
        <v>98.295000000000002</v>
      </c>
      <c r="M728">
        <v>82.352999999999994</v>
      </c>
      <c r="N728">
        <v>82.608999999999995</v>
      </c>
      <c r="O728">
        <v>82.608999999999995</v>
      </c>
      <c r="P728">
        <v>82.352999999999994</v>
      </c>
      <c r="Q728">
        <v>82.608999999999995</v>
      </c>
      <c r="R728">
        <v>82.608999999999995</v>
      </c>
      <c r="S728">
        <v>40</v>
      </c>
      <c r="T728">
        <v>41.667000000000002</v>
      </c>
      <c r="U728">
        <v>21.428999999999998</v>
      </c>
      <c r="V728">
        <f t="shared" si="33"/>
        <v>76.017250000000004</v>
      </c>
      <c r="W728">
        <f t="shared" si="34"/>
        <v>76.4255</v>
      </c>
      <c r="X728">
        <f t="shared" si="35"/>
        <v>71.235499999999988</v>
      </c>
      <c r="Y728">
        <v>13</v>
      </c>
      <c r="Z728" s="2" t="s">
        <v>455</v>
      </c>
    </row>
    <row r="729" spans="1:26" x14ac:dyDescent="0.25">
      <c r="A729">
        <v>606</v>
      </c>
      <c r="B729">
        <v>825</v>
      </c>
      <c r="C729" t="s">
        <v>22</v>
      </c>
      <c r="D729" t="s">
        <v>453</v>
      </c>
      <c r="E729" t="s">
        <v>30</v>
      </c>
      <c r="F729" t="s">
        <v>681</v>
      </c>
      <c r="G729" t="str">
        <f>VLOOKUP(F729,Hospitals!E:H,4,FALSE)</f>
        <v>29.14919 , 75.72165</v>
      </c>
      <c r="H729" s="1">
        <v>45386</v>
      </c>
      <c r="I729" t="s">
        <v>35</v>
      </c>
      <c r="J729">
        <v>61.783000000000001</v>
      </c>
      <c r="K729">
        <v>58.58</v>
      </c>
      <c r="L729">
        <v>56.25</v>
      </c>
      <c r="M729">
        <v>52.941000000000003</v>
      </c>
      <c r="N729">
        <v>47.826000000000001</v>
      </c>
      <c r="O729">
        <v>47.826000000000001</v>
      </c>
      <c r="P729">
        <v>52.941000000000003</v>
      </c>
      <c r="Q729">
        <v>47.826000000000001</v>
      </c>
      <c r="R729">
        <v>47.826000000000001</v>
      </c>
      <c r="S729">
        <v>10</v>
      </c>
      <c r="T729">
        <v>0</v>
      </c>
      <c r="U729">
        <v>0</v>
      </c>
      <c r="V729">
        <f t="shared" si="33"/>
        <v>44.416250000000005</v>
      </c>
      <c r="W729">
        <f t="shared" si="34"/>
        <v>38.558</v>
      </c>
      <c r="X729">
        <f t="shared" si="35"/>
        <v>37.975499999999997</v>
      </c>
      <c r="Y729">
        <v>13</v>
      </c>
      <c r="Z729" s="2" t="s">
        <v>455</v>
      </c>
    </row>
    <row r="730" spans="1:26" x14ac:dyDescent="0.25">
      <c r="A730">
        <v>604</v>
      </c>
      <c r="B730">
        <v>825</v>
      </c>
      <c r="C730" t="s">
        <v>22</v>
      </c>
      <c r="D730" t="s">
        <v>453</v>
      </c>
      <c r="E730" t="s">
        <v>30</v>
      </c>
      <c r="F730" t="s">
        <v>681</v>
      </c>
      <c r="G730" t="str">
        <f>VLOOKUP(F730,Hospitals!E:H,4,FALSE)</f>
        <v>29.14919 , 75.72165</v>
      </c>
      <c r="H730" s="1">
        <v>45386</v>
      </c>
      <c r="I730" s="1">
        <v>45386</v>
      </c>
      <c r="J730">
        <v>61.783000000000001</v>
      </c>
      <c r="K730">
        <v>58.58</v>
      </c>
      <c r="L730">
        <v>56.25</v>
      </c>
      <c r="M730">
        <v>52.941000000000003</v>
      </c>
      <c r="N730">
        <v>47.826000000000001</v>
      </c>
      <c r="O730">
        <v>47.826000000000001</v>
      </c>
      <c r="P730">
        <v>52.941000000000003</v>
      </c>
      <c r="Q730">
        <v>47.826000000000001</v>
      </c>
      <c r="R730">
        <v>47.826000000000001</v>
      </c>
      <c r="S730">
        <v>10</v>
      </c>
      <c r="T730">
        <v>0</v>
      </c>
      <c r="U730">
        <v>0</v>
      </c>
      <c r="V730">
        <f t="shared" si="33"/>
        <v>44.416250000000005</v>
      </c>
      <c r="W730">
        <f t="shared" si="34"/>
        <v>38.558</v>
      </c>
      <c r="X730">
        <f t="shared" si="35"/>
        <v>37.975499999999997</v>
      </c>
      <c r="Y730">
        <v>13</v>
      </c>
      <c r="Z730" s="2" t="s">
        <v>455</v>
      </c>
    </row>
    <row r="731" spans="1:26" x14ac:dyDescent="0.25">
      <c r="A731">
        <v>664</v>
      </c>
      <c r="B731">
        <v>826</v>
      </c>
      <c r="C731" t="s">
        <v>22</v>
      </c>
      <c r="D731" t="s">
        <v>453</v>
      </c>
      <c r="E731" t="s">
        <v>30</v>
      </c>
      <c r="F731" t="s">
        <v>682</v>
      </c>
      <c r="G731" t="str">
        <f>VLOOKUP(F731,Hospitals!E:H,4,FALSE)</f>
        <v>29.14919 , 75.72165</v>
      </c>
      <c r="H731" s="1">
        <v>45423</v>
      </c>
      <c r="I731" s="1">
        <v>45423</v>
      </c>
      <c r="J731">
        <v>81.528999999999996</v>
      </c>
      <c r="K731">
        <v>78.697999999999993</v>
      </c>
      <c r="L731">
        <v>75.567999999999998</v>
      </c>
      <c r="M731">
        <v>47.058999999999997</v>
      </c>
      <c r="N731">
        <v>52.173999999999999</v>
      </c>
      <c r="O731">
        <v>52.173999999999999</v>
      </c>
      <c r="P731">
        <v>47.058999999999997</v>
      </c>
      <c r="Q731">
        <v>52.173999999999999</v>
      </c>
      <c r="R731">
        <v>52.173999999999999</v>
      </c>
      <c r="S731">
        <v>0</v>
      </c>
      <c r="T731">
        <v>0</v>
      </c>
      <c r="U731">
        <v>0</v>
      </c>
      <c r="V731">
        <f t="shared" si="33"/>
        <v>43.911749999999998</v>
      </c>
      <c r="W731">
        <f t="shared" si="34"/>
        <v>45.761499999999998</v>
      </c>
      <c r="X731">
        <f t="shared" si="35"/>
        <v>44.978999999999999</v>
      </c>
      <c r="Y731">
        <v>13</v>
      </c>
      <c r="Z731" s="2" t="s">
        <v>455</v>
      </c>
    </row>
    <row r="732" spans="1:26" x14ac:dyDescent="0.25">
      <c r="A732">
        <v>898</v>
      </c>
      <c r="B732">
        <v>827</v>
      </c>
      <c r="C732" t="s">
        <v>22</v>
      </c>
      <c r="D732" t="s">
        <v>453</v>
      </c>
      <c r="E732" t="s">
        <v>30</v>
      </c>
      <c r="F732" t="s">
        <v>683</v>
      </c>
      <c r="G732" t="str">
        <f>VLOOKUP(F732,Hospitals!E:H,4,FALSE)</f>
        <v>30.19899 , 74.92076</v>
      </c>
      <c r="H732" s="1">
        <v>45483</v>
      </c>
      <c r="I732" s="1">
        <v>45483</v>
      </c>
      <c r="J732">
        <v>87.897999999999996</v>
      </c>
      <c r="K732">
        <v>85.206999999999994</v>
      </c>
      <c r="L732">
        <v>81.817999999999998</v>
      </c>
      <c r="M732">
        <v>70.587999999999994</v>
      </c>
      <c r="N732">
        <v>69.564999999999998</v>
      </c>
      <c r="O732">
        <v>69.564999999999998</v>
      </c>
      <c r="P732">
        <v>70.587999999999994</v>
      </c>
      <c r="Q732">
        <v>69.564999999999998</v>
      </c>
      <c r="R732">
        <v>69.564999999999998</v>
      </c>
      <c r="S732">
        <v>0</v>
      </c>
      <c r="T732">
        <v>0</v>
      </c>
      <c r="U732">
        <v>0</v>
      </c>
      <c r="V732">
        <f t="shared" si="33"/>
        <v>57.268499999999996</v>
      </c>
      <c r="W732">
        <f t="shared" si="34"/>
        <v>56.084249999999997</v>
      </c>
      <c r="X732">
        <f t="shared" si="35"/>
        <v>55.236999999999995</v>
      </c>
      <c r="Y732">
        <v>13</v>
      </c>
      <c r="Z732" s="2" t="s">
        <v>455</v>
      </c>
    </row>
    <row r="733" spans="1:26" x14ac:dyDescent="0.25">
      <c r="A733">
        <v>744</v>
      </c>
      <c r="B733">
        <v>828</v>
      </c>
      <c r="C733" t="s">
        <v>22</v>
      </c>
      <c r="D733" t="s">
        <v>453</v>
      </c>
      <c r="E733" t="s">
        <v>30</v>
      </c>
      <c r="F733" t="s">
        <v>684</v>
      </c>
      <c r="G733" t="str">
        <f>VLOOKUP(F733,Hospitals!E:H,4,FALSE)</f>
        <v>29.53379 , 75.03782</v>
      </c>
      <c r="H733" s="1">
        <v>45428</v>
      </c>
      <c r="I733" s="1">
        <v>45428</v>
      </c>
      <c r="J733">
        <v>96.177999999999997</v>
      </c>
      <c r="K733">
        <v>94.674999999999997</v>
      </c>
      <c r="L733">
        <v>92.045000000000002</v>
      </c>
      <c r="M733">
        <v>94.117999999999995</v>
      </c>
      <c r="N733">
        <v>86.956999999999994</v>
      </c>
      <c r="O733">
        <v>86.956999999999994</v>
      </c>
      <c r="P733">
        <v>94.117999999999995</v>
      </c>
      <c r="Q733">
        <v>86.956999999999994</v>
      </c>
      <c r="R733">
        <v>86.956999999999994</v>
      </c>
      <c r="S733">
        <v>10</v>
      </c>
      <c r="T733">
        <v>8.3330000000000002</v>
      </c>
      <c r="U733">
        <v>0</v>
      </c>
      <c r="V733">
        <f t="shared" si="33"/>
        <v>73.603499999999997</v>
      </c>
      <c r="W733">
        <f t="shared" si="34"/>
        <v>69.230500000000006</v>
      </c>
      <c r="X733">
        <f t="shared" si="35"/>
        <v>66.489750000000001</v>
      </c>
      <c r="Y733">
        <v>13</v>
      </c>
      <c r="Z733" s="2" t="s">
        <v>455</v>
      </c>
    </row>
    <row r="734" spans="1:26" x14ac:dyDescent="0.25">
      <c r="A734">
        <v>629</v>
      </c>
      <c r="B734">
        <v>829</v>
      </c>
      <c r="C734" t="s">
        <v>22</v>
      </c>
      <c r="D734" t="s">
        <v>453</v>
      </c>
      <c r="E734" t="s">
        <v>30</v>
      </c>
      <c r="F734" t="s">
        <v>685</v>
      </c>
      <c r="G734" t="str">
        <f>VLOOKUP(F734,Hospitals!E:H,4,FALSE)</f>
        <v>30.90096 , 75.85728</v>
      </c>
      <c r="H734" s="1">
        <v>45392</v>
      </c>
      <c r="I734" s="1">
        <v>45402</v>
      </c>
      <c r="J734">
        <v>98.088999999999999</v>
      </c>
      <c r="K734">
        <v>98.224999999999994</v>
      </c>
      <c r="L734">
        <v>97.159000000000006</v>
      </c>
      <c r="M734">
        <v>100</v>
      </c>
      <c r="N734">
        <v>100</v>
      </c>
      <c r="O734">
        <v>100</v>
      </c>
      <c r="P734">
        <v>100</v>
      </c>
      <c r="Q734">
        <v>100</v>
      </c>
      <c r="R734">
        <v>100</v>
      </c>
      <c r="S734">
        <v>10</v>
      </c>
      <c r="T734">
        <v>16.667000000000002</v>
      </c>
      <c r="U734">
        <v>14.286</v>
      </c>
      <c r="V734">
        <f t="shared" si="33"/>
        <v>77.02225</v>
      </c>
      <c r="W734">
        <f t="shared" si="34"/>
        <v>78.723000000000013</v>
      </c>
      <c r="X734">
        <f t="shared" si="35"/>
        <v>77.861249999999998</v>
      </c>
      <c r="Y734">
        <v>13</v>
      </c>
      <c r="Z734" s="2" t="s">
        <v>455</v>
      </c>
    </row>
    <row r="735" spans="1:26" x14ac:dyDescent="0.25">
      <c r="A735">
        <v>649</v>
      </c>
      <c r="B735">
        <v>829</v>
      </c>
      <c r="C735" t="s">
        <v>22</v>
      </c>
      <c r="D735" t="s">
        <v>453</v>
      </c>
      <c r="E735" t="s">
        <v>30</v>
      </c>
      <c r="F735" t="s">
        <v>685</v>
      </c>
      <c r="G735" t="str">
        <f>VLOOKUP(F735,Hospitals!E:H,4,FALSE)</f>
        <v>30.90096 , 75.85728</v>
      </c>
      <c r="H735" s="1">
        <v>45402</v>
      </c>
      <c r="I735" s="1">
        <v>45402</v>
      </c>
      <c r="J735">
        <v>98.088999999999999</v>
      </c>
      <c r="K735">
        <v>98.224999999999994</v>
      </c>
      <c r="L735">
        <v>97.159000000000006</v>
      </c>
      <c r="M735">
        <v>100</v>
      </c>
      <c r="N735">
        <v>100</v>
      </c>
      <c r="O735">
        <v>100</v>
      </c>
      <c r="P735">
        <v>100</v>
      </c>
      <c r="Q735">
        <v>100</v>
      </c>
      <c r="R735">
        <v>100</v>
      </c>
      <c r="S735">
        <v>10</v>
      </c>
      <c r="T735">
        <v>16.667000000000002</v>
      </c>
      <c r="U735">
        <v>14.286</v>
      </c>
      <c r="V735">
        <f t="shared" si="33"/>
        <v>77.02225</v>
      </c>
      <c r="W735">
        <f t="shared" si="34"/>
        <v>78.723000000000013</v>
      </c>
      <c r="X735">
        <f t="shared" si="35"/>
        <v>77.861249999999998</v>
      </c>
      <c r="Y735">
        <v>13</v>
      </c>
      <c r="Z735" s="2" t="s">
        <v>455</v>
      </c>
    </row>
    <row r="736" spans="1:26" x14ac:dyDescent="0.25">
      <c r="A736">
        <v>592</v>
      </c>
      <c r="B736">
        <v>829</v>
      </c>
      <c r="C736" t="s">
        <v>22</v>
      </c>
      <c r="D736" t="s">
        <v>453</v>
      </c>
      <c r="E736" t="s">
        <v>30</v>
      </c>
      <c r="F736" t="s">
        <v>685</v>
      </c>
      <c r="G736" t="str">
        <f>VLOOKUP(F736,Hospitals!E:H,4,FALSE)</f>
        <v>30.90096 , 75.85728</v>
      </c>
      <c r="H736" s="1">
        <v>45392</v>
      </c>
      <c r="I736" s="1">
        <v>45392</v>
      </c>
      <c r="J736">
        <v>98.088999999999999</v>
      </c>
      <c r="K736">
        <v>98.224999999999994</v>
      </c>
      <c r="L736">
        <v>97.159000000000006</v>
      </c>
      <c r="M736">
        <v>100</v>
      </c>
      <c r="N736">
        <v>100</v>
      </c>
      <c r="O736">
        <v>100</v>
      </c>
      <c r="P736">
        <v>100</v>
      </c>
      <c r="Q736">
        <v>100</v>
      </c>
      <c r="R736">
        <v>100</v>
      </c>
      <c r="S736">
        <v>10</v>
      </c>
      <c r="T736">
        <v>16.667000000000002</v>
      </c>
      <c r="U736">
        <v>14.286</v>
      </c>
      <c r="V736">
        <f t="shared" si="33"/>
        <v>77.02225</v>
      </c>
      <c r="W736">
        <f t="shared" si="34"/>
        <v>78.723000000000013</v>
      </c>
      <c r="X736">
        <f t="shared" si="35"/>
        <v>77.861249999999998</v>
      </c>
      <c r="Y736">
        <v>13</v>
      </c>
      <c r="Z736" s="2" t="s">
        <v>455</v>
      </c>
    </row>
    <row r="737" spans="1:26" x14ac:dyDescent="0.25">
      <c r="A737">
        <v>766</v>
      </c>
      <c r="B737">
        <v>83</v>
      </c>
      <c r="C737" t="s">
        <v>22</v>
      </c>
      <c r="D737" t="s">
        <v>29</v>
      </c>
      <c r="E737" t="s">
        <v>30</v>
      </c>
      <c r="F737" t="s">
        <v>686</v>
      </c>
      <c r="G737" t="str">
        <f>VLOOKUP(F737,Hospitals!E:H,4,FALSE)</f>
        <v>28.41641 , 76.9622</v>
      </c>
      <c r="H737" s="1">
        <v>45443</v>
      </c>
      <c r="I737" s="1">
        <v>45443</v>
      </c>
      <c r="J737">
        <v>55.414000000000001</v>
      </c>
      <c r="K737">
        <v>54.438000000000002</v>
      </c>
      <c r="L737">
        <v>53.976999999999997</v>
      </c>
      <c r="M737">
        <v>64.706000000000003</v>
      </c>
      <c r="N737">
        <v>52.173999999999999</v>
      </c>
      <c r="O737">
        <v>52.173999999999999</v>
      </c>
      <c r="P737">
        <v>64.706000000000003</v>
      </c>
      <c r="Q737">
        <v>52.173999999999999</v>
      </c>
      <c r="R737">
        <v>52.173999999999999</v>
      </c>
      <c r="S737">
        <v>10</v>
      </c>
      <c r="T737">
        <v>8.3330000000000002</v>
      </c>
      <c r="U737">
        <v>0</v>
      </c>
      <c r="V737">
        <f t="shared" si="33"/>
        <v>48.706500000000005</v>
      </c>
      <c r="W737">
        <f t="shared" si="34"/>
        <v>41.77975</v>
      </c>
      <c r="X737">
        <f t="shared" si="35"/>
        <v>39.581249999999997</v>
      </c>
      <c r="Y737">
        <v>13</v>
      </c>
      <c r="Z737" s="2" t="s">
        <v>31</v>
      </c>
    </row>
    <row r="738" spans="1:26" x14ac:dyDescent="0.25">
      <c r="A738">
        <v>719</v>
      </c>
      <c r="B738">
        <v>830</v>
      </c>
      <c r="C738" t="s">
        <v>22</v>
      </c>
      <c r="D738" t="s">
        <v>453</v>
      </c>
      <c r="E738" t="s">
        <v>30</v>
      </c>
      <c r="F738" t="s">
        <v>687</v>
      </c>
      <c r="G738" t="str">
        <f>VLOOKUP(F738,Hospitals!E:H,4,FALSE)</f>
        <v>29.5426 , 75.02998</v>
      </c>
      <c r="H738" s="1">
        <v>45424</v>
      </c>
      <c r="I738" s="1">
        <v>45424</v>
      </c>
      <c r="J738">
        <v>89.171999999999997</v>
      </c>
      <c r="K738">
        <v>86.981999999999999</v>
      </c>
      <c r="L738">
        <v>84.659000000000006</v>
      </c>
      <c r="M738">
        <v>94.117999999999995</v>
      </c>
      <c r="N738">
        <v>91.304000000000002</v>
      </c>
      <c r="O738">
        <v>91.304000000000002</v>
      </c>
      <c r="P738">
        <v>94.117999999999995</v>
      </c>
      <c r="Q738">
        <v>91.304000000000002</v>
      </c>
      <c r="R738">
        <v>91.304000000000002</v>
      </c>
      <c r="S738">
        <v>10</v>
      </c>
      <c r="T738">
        <v>8.3330000000000002</v>
      </c>
      <c r="U738">
        <v>0</v>
      </c>
      <c r="V738">
        <f t="shared" si="33"/>
        <v>71.852000000000004</v>
      </c>
      <c r="W738">
        <f t="shared" si="34"/>
        <v>69.480750000000015</v>
      </c>
      <c r="X738">
        <f t="shared" si="35"/>
        <v>66.816750000000013</v>
      </c>
      <c r="Y738">
        <v>13</v>
      </c>
      <c r="Z738" s="2" t="s">
        <v>455</v>
      </c>
    </row>
    <row r="739" spans="1:26" x14ac:dyDescent="0.25">
      <c r="A739">
        <v>643</v>
      </c>
      <c r="B739">
        <v>831</v>
      </c>
      <c r="C739" t="s">
        <v>22</v>
      </c>
      <c r="D739" t="s">
        <v>453</v>
      </c>
      <c r="E739" t="s">
        <v>30</v>
      </c>
      <c r="F739" t="s">
        <v>688</v>
      </c>
      <c r="G739" t="str">
        <f>VLOOKUP(F739,Hospitals!E:H,4,FALSE)</f>
        <v>29.54461 , 75.02606</v>
      </c>
      <c r="H739" s="1">
        <v>45427</v>
      </c>
      <c r="I739" s="1">
        <v>45427</v>
      </c>
      <c r="J739">
        <v>98.088999999999999</v>
      </c>
      <c r="K739">
        <v>97.040999999999997</v>
      </c>
      <c r="L739">
        <v>96.590999999999994</v>
      </c>
      <c r="M739">
        <v>94.117999999999995</v>
      </c>
      <c r="N739">
        <v>91.304000000000002</v>
      </c>
      <c r="O739">
        <v>91.304000000000002</v>
      </c>
      <c r="P739">
        <v>94.117999999999995</v>
      </c>
      <c r="Q739">
        <v>91.304000000000002</v>
      </c>
      <c r="R739">
        <v>91.304000000000002</v>
      </c>
      <c r="S739">
        <v>10</v>
      </c>
      <c r="T739">
        <v>8.3330000000000002</v>
      </c>
      <c r="U739">
        <v>0</v>
      </c>
      <c r="V739">
        <f t="shared" si="33"/>
        <v>74.081249999999997</v>
      </c>
      <c r="W739">
        <f t="shared" si="34"/>
        <v>71.995500000000007</v>
      </c>
      <c r="X739">
        <f t="shared" si="35"/>
        <v>69.799749999999989</v>
      </c>
      <c r="Y739">
        <v>13</v>
      </c>
      <c r="Z739" s="2" t="s">
        <v>455</v>
      </c>
    </row>
    <row r="740" spans="1:26" x14ac:dyDescent="0.25">
      <c r="A740">
        <v>657</v>
      </c>
      <c r="B740">
        <v>832</v>
      </c>
      <c r="C740" t="s">
        <v>22</v>
      </c>
      <c r="D740" t="s">
        <v>453</v>
      </c>
      <c r="E740" t="s">
        <v>30</v>
      </c>
      <c r="F740" t="s">
        <v>689</v>
      </c>
      <c r="G740" t="str">
        <f>VLOOKUP(F740,Hospitals!E:H,4,FALSE)</f>
        <v>29.53655 , 75.02255</v>
      </c>
      <c r="H740" s="1">
        <v>45421</v>
      </c>
      <c r="I740" s="1">
        <v>45421</v>
      </c>
      <c r="J740">
        <v>55.414000000000001</v>
      </c>
      <c r="K740">
        <v>52.070999999999998</v>
      </c>
      <c r="L740">
        <v>50</v>
      </c>
      <c r="M740">
        <v>35.293999999999997</v>
      </c>
      <c r="N740">
        <v>43.478000000000002</v>
      </c>
      <c r="O740">
        <v>43.478000000000002</v>
      </c>
      <c r="P740">
        <v>35.293999999999997</v>
      </c>
      <c r="Q740">
        <v>43.478000000000002</v>
      </c>
      <c r="R740">
        <v>43.478000000000002</v>
      </c>
      <c r="S740">
        <v>0</v>
      </c>
      <c r="T740">
        <v>0</v>
      </c>
      <c r="U740">
        <v>0</v>
      </c>
      <c r="V740">
        <f t="shared" si="33"/>
        <v>31.500499999999999</v>
      </c>
      <c r="W740">
        <f t="shared" si="34"/>
        <v>34.756750000000004</v>
      </c>
      <c r="X740">
        <f t="shared" si="35"/>
        <v>34.239000000000004</v>
      </c>
      <c r="Y740">
        <v>13</v>
      </c>
      <c r="Z740" s="2" t="s">
        <v>455</v>
      </c>
    </row>
    <row r="741" spans="1:26" x14ac:dyDescent="0.25">
      <c r="A741">
        <v>658</v>
      </c>
      <c r="B741">
        <v>833</v>
      </c>
      <c r="C741" t="s">
        <v>22</v>
      </c>
      <c r="D741" t="s">
        <v>453</v>
      </c>
      <c r="E741" t="s">
        <v>30</v>
      </c>
      <c r="F741" t="s">
        <v>690</v>
      </c>
      <c r="G741" t="str">
        <f>VLOOKUP(F741,Hospitals!E:H,4,FALSE)</f>
        <v>29.54292 , 75.03409</v>
      </c>
      <c r="H741" s="1">
        <v>45422</v>
      </c>
      <c r="I741" s="1">
        <v>45422</v>
      </c>
      <c r="J741">
        <v>98.088999999999999</v>
      </c>
      <c r="K741">
        <v>97.632999999999996</v>
      </c>
      <c r="L741">
        <v>97.727000000000004</v>
      </c>
      <c r="M741">
        <v>100</v>
      </c>
      <c r="N741">
        <v>100</v>
      </c>
      <c r="O741">
        <v>100</v>
      </c>
      <c r="P741">
        <v>100</v>
      </c>
      <c r="Q741">
        <v>100</v>
      </c>
      <c r="R741">
        <v>100</v>
      </c>
      <c r="S741">
        <v>10</v>
      </c>
      <c r="T741">
        <v>8.3330000000000002</v>
      </c>
      <c r="U741">
        <v>0</v>
      </c>
      <c r="V741">
        <f t="shared" si="33"/>
        <v>77.02225</v>
      </c>
      <c r="W741">
        <f t="shared" si="34"/>
        <v>76.491500000000002</v>
      </c>
      <c r="X741">
        <f t="shared" si="35"/>
        <v>74.431749999999994</v>
      </c>
      <c r="Y741">
        <v>13</v>
      </c>
      <c r="Z741" s="2" t="s">
        <v>455</v>
      </c>
    </row>
    <row r="742" spans="1:26" x14ac:dyDescent="0.25">
      <c r="A742">
        <v>933</v>
      </c>
      <c r="B742">
        <v>834</v>
      </c>
      <c r="C742" t="s">
        <v>22</v>
      </c>
      <c r="D742" t="s">
        <v>453</v>
      </c>
      <c r="E742" t="s">
        <v>30</v>
      </c>
      <c r="F742" t="s">
        <v>691</v>
      </c>
      <c r="G742" t="str">
        <f>VLOOKUP(F742,Hospitals!E:H,4,FALSE)</f>
        <v>29.5373 , 75.0327</v>
      </c>
      <c r="H742" s="1">
        <v>45499</v>
      </c>
      <c r="I742" s="1">
        <v>45499</v>
      </c>
      <c r="J742">
        <v>72.611000000000004</v>
      </c>
      <c r="K742">
        <v>70.414000000000001</v>
      </c>
      <c r="L742">
        <v>67.614000000000004</v>
      </c>
      <c r="M742">
        <v>76.471000000000004</v>
      </c>
      <c r="N742">
        <v>69.564999999999998</v>
      </c>
      <c r="O742">
        <v>69.564999999999998</v>
      </c>
      <c r="P742">
        <v>76.471000000000004</v>
      </c>
      <c r="Q742">
        <v>69.564999999999998</v>
      </c>
      <c r="R742">
        <v>69.564999999999998</v>
      </c>
      <c r="S742">
        <v>0</v>
      </c>
      <c r="T742">
        <v>0</v>
      </c>
      <c r="U742">
        <v>0</v>
      </c>
      <c r="V742">
        <f t="shared" si="33"/>
        <v>56.388249999999999</v>
      </c>
      <c r="W742">
        <f t="shared" si="34"/>
        <v>52.385999999999996</v>
      </c>
      <c r="X742">
        <f t="shared" si="35"/>
        <v>51.686</v>
      </c>
      <c r="Y742">
        <v>13</v>
      </c>
      <c r="Z742" s="2" t="s">
        <v>455</v>
      </c>
    </row>
    <row r="743" spans="1:26" x14ac:dyDescent="0.25">
      <c r="A743">
        <v>641</v>
      </c>
      <c r="B743">
        <v>835</v>
      </c>
      <c r="C743" t="s">
        <v>22</v>
      </c>
      <c r="D743" t="s">
        <v>453</v>
      </c>
      <c r="E743" t="s">
        <v>30</v>
      </c>
      <c r="F743" t="s">
        <v>692</v>
      </c>
      <c r="G743" t="str">
        <f>VLOOKUP(F743,Hospitals!E:H,4,FALSE)</f>
        <v>29.54383 , 75.02901</v>
      </c>
      <c r="H743" s="1">
        <v>45423</v>
      </c>
      <c r="I743" s="1">
        <v>45423</v>
      </c>
      <c r="J743">
        <v>70.700999999999993</v>
      </c>
      <c r="K743">
        <v>67.456000000000003</v>
      </c>
      <c r="L743">
        <v>66.477000000000004</v>
      </c>
      <c r="M743">
        <v>70.587999999999994</v>
      </c>
      <c r="N743">
        <v>65.216999999999999</v>
      </c>
      <c r="O743">
        <v>65.216999999999999</v>
      </c>
      <c r="P743">
        <v>70.587999999999994</v>
      </c>
      <c r="Q743">
        <v>65.216999999999999</v>
      </c>
      <c r="R743">
        <v>65.216999999999999</v>
      </c>
      <c r="S743">
        <v>0</v>
      </c>
      <c r="T743">
        <v>0</v>
      </c>
      <c r="U743">
        <v>0</v>
      </c>
      <c r="V743">
        <f t="shared" si="33"/>
        <v>52.969249999999995</v>
      </c>
      <c r="W743">
        <f t="shared" si="34"/>
        <v>49.472499999999997</v>
      </c>
      <c r="X743">
        <f t="shared" si="35"/>
        <v>49.22775</v>
      </c>
      <c r="Y743">
        <v>13</v>
      </c>
      <c r="Z743" s="2" t="s">
        <v>455</v>
      </c>
    </row>
    <row r="744" spans="1:26" x14ac:dyDescent="0.25">
      <c r="A744">
        <v>605</v>
      </c>
      <c r="B744">
        <v>836</v>
      </c>
      <c r="C744" t="s">
        <v>22</v>
      </c>
      <c r="D744" t="s">
        <v>453</v>
      </c>
      <c r="E744" t="s">
        <v>30</v>
      </c>
      <c r="F744" t="s">
        <v>693</v>
      </c>
      <c r="G744" t="str">
        <f>VLOOKUP(F744,Hospitals!E:H,4,FALSE)</f>
        <v>29.53755 , 75.03721</v>
      </c>
      <c r="H744" s="1">
        <v>45386</v>
      </c>
      <c r="I744" s="1">
        <v>45386</v>
      </c>
      <c r="J744">
        <v>98.088999999999999</v>
      </c>
      <c r="K744">
        <v>95.858000000000004</v>
      </c>
      <c r="L744">
        <v>94.317999999999998</v>
      </c>
      <c r="M744">
        <v>94.117999999999995</v>
      </c>
      <c r="N744">
        <v>86.956999999999994</v>
      </c>
      <c r="O744">
        <v>86.956999999999994</v>
      </c>
      <c r="P744">
        <v>94.117999999999995</v>
      </c>
      <c r="Q744">
        <v>86.956999999999994</v>
      </c>
      <c r="R744">
        <v>86.956999999999994</v>
      </c>
      <c r="S744">
        <v>50</v>
      </c>
      <c r="T744">
        <v>25</v>
      </c>
      <c r="U744">
        <v>7.1429999999999998</v>
      </c>
      <c r="V744">
        <f t="shared" si="33"/>
        <v>84.081249999999997</v>
      </c>
      <c r="W744">
        <f t="shared" si="34"/>
        <v>73.692999999999998</v>
      </c>
      <c r="X744">
        <f t="shared" si="35"/>
        <v>68.843749999999986</v>
      </c>
      <c r="Y744">
        <v>13</v>
      </c>
      <c r="Z744" s="2" t="s">
        <v>455</v>
      </c>
    </row>
    <row r="745" spans="1:26" x14ac:dyDescent="0.25">
      <c r="A745">
        <v>916</v>
      </c>
      <c r="B745">
        <v>837</v>
      </c>
      <c r="C745" t="s">
        <v>22</v>
      </c>
      <c r="D745" t="s">
        <v>453</v>
      </c>
      <c r="E745" t="s">
        <v>30</v>
      </c>
      <c r="F745" t="s">
        <v>694</v>
      </c>
      <c r="G745" t="str">
        <f>VLOOKUP(F745,Hospitals!E:H,4,FALSE)</f>
        <v>29.53636 , 75.02412</v>
      </c>
      <c r="H745" s="1">
        <v>45491</v>
      </c>
      <c r="I745" s="1">
        <v>45491</v>
      </c>
      <c r="J745">
        <v>77.706999999999994</v>
      </c>
      <c r="K745">
        <v>75.147999999999996</v>
      </c>
      <c r="L745">
        <v>72.727000000000004</v>
      </c>
      <c r="M745">
        <v>52.941000000000003</v>
      </c>
      <c r="N745">
        <v>52.173999999999999</v>
      </c>
      <c r="O745">
        <v>52.173999999999999</v>
      </c>
      <c r="P745">
        <v>52.941000000000003</v>
      </c>
      <c r="Q745">
        <v>52.173999999999999</v>
      </c>
      <c r="R745">
        <v>52.173999999999999</v>
      </c>
      <c r="S745">
        <v>0</v>
      </c>
      <c r="T745">
        <v>0</v>
      </c>
      <c r="U745">
        <v>0</v>
      </c>
      <c r="V745">
        <f t="shared" si="33"/>
        <v>45.89725</v>
      </c>
      <c r="W745">
        <f t="shared" si="34"/>
        <v>44.874000000000002</v>
      </c>
      <c r="X745">
        <f t="shared" si="35"/>
        <v>44.268750000000004</v>
      </c>
      <c r="Y745">
        <v>13</v>
      </c>
      <c r="Z745" s="2" t="s">
        <v>455</v>
      </c>
    </row>
    <row r="746" spans="1:26" x14ac:dyDescent="0.25">
      <c r="A746">
        <v>659</v>
      </c>
      <c r="B746">
        <v>838</v>
      </c>
      <c r="C746" t="s">
        <v>22</v>
      </c>
      <c r="D746" t="s">
        <v>453</v>
      </c>
      <c r="E746" t="s">
        <v>30</v>
      </c>
      <c r="F746" t="s">
        <v>695</v>
      </c>
      <c r="G746" t="str">
        <f>VLOOKUP(F746,Hospitals!E:H,4,FALSE)</f>
        <v>29.53448 , 75.03376</v>
      </c>
      <c r="H746" s="1">
        <v>45405</v>
      </c>
      <c r="I746" s="1">
        <v>45405</v>
      </c>
      <c r="J746">
        <v>87.897999999999996</v>
      </c>
      <c r="K746">
        <v>84.614999999999995</v>
      </c>
      <c r="L746">
        <v>82.385999999999996</v>
      </c>
      <c r="M746">
        <v>82.352999999999994</v>
      </c>
      <c r="N746">
        <v>78.260999999999996</v>
      </c>
      <c r="O746">
        <v>78.260999999999996</v>
      </c>
      <c r="P746">
        <v>82.352999999999994</v>
      </c>
      <c r="Q746">
        <v>78.260999999999996</v>
      </c>
      <c r="R746">
        <v>78.260999999999996</v>
      </c>
      <c r="S746">
        <v>10</v>
      </c>
      <c r="T746">
        <v>8.3330000000000002</v>
      </c>
      <c r="U746">
        <v>0</v>
      </c>
      <c r="V746">
        <f t="shared" si="33"/>
        <v>65.650999999999996</v>
      </c>
      <c r="W746">
        <f t="shared" si="34"/>
        <v>62.367499999999993</v>
      </c>
      <c r="X746">
        <f t="shared" si="35"/>
        <v>59.726999999999997</v>
      </c>
      <c r="Y746">
        <v>13</v>
      </c>
      <c r="Z746" s="2" t="s">
        <v>455</v>
      </c>
    </row>
    <row r="747" spans="1:26" x14ac:dyDescent="0.25">
      <c r="A747">
        <v>651</v>
      </c>
      <c r="B747">
        <v>838</v>
      </c>
      <c r="C747" t="s">
        <v>22</v>
      </c>
      <c r="D747" t="s">
        <v>453</v>
      </c>
      <c r="E747" t="s">
        <v>30</v>
      </c>
      <c r="F747" t="s">
        <v>695</v>
      </c>
      <c r="G747" t="str">
        <f>VLOOKUP(F747,Hospitals!E:H,4,FALSE)</f>
        <v>29.53448 , 75.03376</v>
      </c>
      <c r="H747" s="1">
        <v>45405</v>
      </c>
      <c r="I747" s="1">
        <v>45405</v>
      </c>
      <c r="J747">
        <v>87.897999999999996</v>
      </c>
      <c r="K747">
        <v>84.614999999999995</v>
      </c>
      <c r="L747">
        <v>82.385999999999996</v>
      </c>
      <c r="M747">
        <v>82.352999999999994</v>
      </c>
      <c r="N747">
        <v>78.260999999999996</v>
      </c>
      <c r="O747">
        <v>78.260999999999996</v>
      </c>
      <c r="P747">
        <v>82.352999999999994</v>
      </c>
      <c r="Q747">
        <v>78.260999999999996</v>
      </c>
      <c r="R747">
        <v>78.260999999999996</v>
      </c>
      <c r="S747">
        <v>10</v>
      </c>
      <c r="T747">
        <v>8.3330000000000002</v>
      </c>
      <c r="U747">
        <v>0</v>
      </c>
      <c r="V747">
        <f t="shared" si="33"/>
        <v>65.650999999999996</v>
      </c>
      <c r="W747">
        <f t="shared" si="34"/>
        <v>62.367499999999993</v>
      </c>
      <c r="X747">
        <f t="shared" si="35"/>
        <v>59.726999999999997</v>
      </c>
      <c r="Y747">
        <v>13</v>
      </c>
      <c r="Z747" s="2" t="s">
        <v>455</v>
      </c>
    </row>
    <row r="748" spans="1:26" x14ac:dyDescent="0.25">
      <c r="A748">
        <v>654</v>
      </c>
      <c r="B748">
        <v>839</v>
      </c>
      <c r="C748" t="s">
        <v>22</v>
      </c>
      <c r="D748" t="s">
        <v>453</v>
      </c>
      <c r="E748" t="s">
        <v>30</v>
      </c>
      <c r="F748" t="s">
        <v>696</v>
      </c>
      <c r="G748" t="str">
        <f>VLOOKUP(F748,Hospitals!E:H,4,FALSE)</f>
        <v>29.53745 , 75.03163</v>
      </c>
      <c r="H748" s="1">
        <v>45421</v>
      </c>
      <c r="I748" s="1">
        <v>45421</v>
      </c>
      <c r="J748">
        <v>52.228999999999999</v>
      </c>
      <c r="K748">
        <v>50.295999999999999</v>
      </c>
      <c r="L748">
        <v>48.295000000000002</v>
      </c>
      <c r="M748">
        <v>23.529</v>
      </c>
      <c r="N748">
        <v>26.087</v>
      </c>
      <c r="O748">
        <v>26.087</v>
      </c>
      <c r="P748">
        <v>23.529</v>
      </c>
      <c r="Q748">
        <v>26.087</v>
      </c>
      <c r="R748">
        <v>26.087</v>
      </c>
      <c r="S748">
        <v>0</v>
      </c>
      <c r="T748">
        <v>0</v>
      </c>
      <c r="U748">
        <v>0</v>
      </c>
      <c r="V748">
        <f t="shared" si="33"/>
        <v>24.821749999999998</v>
      </c>
      <c r="W748">
        <f t="shared" si="34"/>
        <v>25.6175</v>
      </c>
      <c r="X748">
        <f t="shared" si="35"/>
        <v>25.117250000000002</v>
      </c>
      <c r="Y748">
        <v>13</v>
      </c>
      <c r="Z748" s="2" t="s">
        <v>455</v>
      </c>
    </row>
    <row r="749" spans="1:26" x14ac:dyDescent="0.25">
      <c r="A749">
        <v>332</v>
      </c>
      <c r="B749">
        <v>84</v>
      </c>
      <c r="C749" t="s">
        <v>22</v>
      </c>
      <c r="D749" t="s">
        <v>29</v>
      </c>
      <c r="E749" t="s">
        <v>30</v>
      </c>
      <c r="F749" t="s">
        <v>697</v>
      </c>
      <c r="G749" t="e">
        <f>VLOOKUP(F749,Hospitals!E:H,4,FALSE)</f>
        <v>#N/A</v>
      </c>
      <c r="H749" s="1">
        <v>45357</v>
      </c>
      <c r="I749" t="s">
        <v>35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f t="shared" si="33"/>
        <v>0</v>
      </c>
      <c r="W749">
        <f t="shared" si="34"/>
        <v>0</v>
      </c>
      <c r="X749">
        <f t="shared" si="35"/>
        <v>0</v>
      </c>
      <c r="Y749">
        <v>13</v>
      </c>
      <c r="Z749" s="2" t="s">
        <v>31</v>
      </c>
    </row>
    <row r="750" spans="1:26" x14ac:dyDescent="0.25">
      <c r="A750">
        <v>670</v>
      </c>
      <c r="B750">
        <v>840</v>
      </c>
      <c r="C750" t="s">
        <v>22</v>
      </c>
      <c r="D750" t="s">
        <v>453</v>
      </c>
      <c r="E750" t="s">
        <v>30</v>
      </c>
      <c r="F750" t="s">
        <v>698</v>
      </c>
      <c r="G750" t="str">
        <f>VLOOKUP(F750,Hospitals!E:H,4,FALSE)</f>
        <v>29.54079 , 75.03077</v>
      </c>
      <c r="H750" s="1">
        <v>45423</v>
      </c>
      <c r="I750" s="1">
        <v>45423</v>
      </c>
      <c r="J750">
        <v>84.075999999999993</v>
      </c>
      <c r="K750">
        <v>83.432000000000002</v>
      </c>
      <c r="L750">
        <v>81.25</v>
      </c>
      <c r="M750">
        <v>82.352999999999994</v>
      </c>
      <c r="N750">
        <v>73.912999999999997</v>
      </c>
      <c r="O750">
        <v>73.912999999999997</v>
      </c>
      <c r="P750">
        <v>82.352999999999994</v>
      </c>
      <c r="Q750">
        <v>73.912999999999997</v>
      </c>
      <c r="R750">
        <v>73.912999999999997</v>
      </c>
      <c r="S750">
        <v>10</v>
      </c>
      <c r="T750">
        <v>16.667000000000002</v>
      </c>
      <c r="U750">
        <v>0</v>
      </c>
      <c r="V750">
        <f t="shared" si="33"/>
        <v>64.695499999999996</v>
      </c>
      <c r="W750">
        <f t="shared" si="34"/>
        <v>61.981249999999996</v>
      </c>
      <c r="X750">
        <f t="shared" si="35"/>
        <v>57.269000000000005</v>
      </c>
      <c r="Y750">
        <v>13</v>
      </c>
      <c r="Z750" s="2" t="s">
        <v>455</v>
      </c>
    </row>
    <row r="751" spans="1:26" x14ac:dyDescent="0.25">
      <c r="A751">
        <v>671</v>
      </c>
      <c r="B751">
        <v>841</v>
      </c>
      <c r="C751" t="s">
        <v>22</v>
      </c>
      <c r="D751" t="s">
        <v>453</v>
      </c>
      <c r="E751" t="s">
        <v>30</v>
      </c>
      <c r="F751" t="s">
        <v>699</v>
      </c>
      <c r="G751" t="str">
        <f>VLOOKUP(F751,Hospitals!E:H,4,FALSE)</f>
        <v>29.53927 , 75.03158</v>
      </c>
      <c r="H751" s="1">
        <v>45420</v>
      </c>
      <c r="I751" s="1">
        <v>45420</v>
      </c>
      <c r="J751">
        <v>66.879000000000005</v>
      </c>
      <c r="K751">
        <v>64.497</v>
      </c>
      <c r="L751">
        <v>63.067999999999998</v>
      </c>
      <c r="M751">
        <v>64.706000000000003</v>
      </c>
      <c r="N751">
        <v>65.216999999999999</v>
      </c>
      <c r="O751">
        <v>65.216999999999999</v>
      </c>
      <c r="P751">
        <v>64.706000000000003</v>
      </c>
      <c r="Q751">
        <v>65.216999999999999</v>
      </c>
      <c r="R751">
        <v>65.216999999999999</v>
      </c>
      <c r="S751">
        <v>0</v>
      </c>
      <c r="T751">
        <v>8.3330000000000002</v>
      </c>
      <c r="U751">
        <v>7.1429999999999998</v>
      </c>
      <c r="V751">
        <f t="shared" si="33"/>
        <v>49.072749999999999</v>
      </c>
      <c r="W751">
        <f t="shared" si="34"/>
        <v>50.815999999999995</v>
      </c>
      <c r="X751">
        <f t="shared" si="35"/>
        <v>50.161250000000003</v>
      </c>
      <c r="Y751">
        <v>13</v>
      </c>
      <c r="Z751" s="2" t="s">
        <v>455</v>
      </c>
    </row>
    <row r="752" spans="1:26" x14ac:dyDescent="0.25">
      <c r="A752">
        <v>547</v>
      </c>
      <c r="B752">
        <v>842</v>
      </c>
      <c r="C752" t="s">
        <v>22</v>
      </c>
      <c r="D752" t="s">
        <v>453</v>
      </c>
      <c r="E752" t="s">
        <v>27</v>
      </c>
      <c r="F752" t="s">
        <v>700</v>
      </c>
      <c r="G752" t="str">
        <f>VLOOKUP(F752,Hospitals!E:H,4,FALSE)</f>
        <v>29.59721 , 74.991</v>
      </c>
      <c r="H752" s="1">
        <v>45383</v>
      </c>
      <c r="I752" s="1">
        <v>45383</v>
      </c>
      <c r="J752">
        <v>55.414000000000001</v>
      </c>
      <c r="K752">
        <v>52.070999999999998</v>
      </c>
      <c r="L752">
        <v>50</v>
      </c>
      <c r="M752">
        <v>52.941000000000003</v>
      </c>
      <c r="N752">
        <v>43.478000000000002</v>
      </c>
      <c r="O752">
        <v>43.478000000000002</v>
      </c>
      <c r="P752">
        <v>52.941000000000003</v>
      </c>
      <c r="Q752">
        <v>43.478000000000002</v>
      </c>
      <c r="R752">
        <v>43.478000000000002</v>
      </c>
      <c r="S752">
        <v>0</v>
      </c>
      <c r="T752">
        <v>0</v>
      </c>
      <c r="U752">
        <v>0</v>
      </c>
      <c r="V752">
        <f t="shared" si="33"/>
        <v>40.323999999999998</v>
      </c>
      <c r="W752">
        <f t="shared" si="34"/>
        <v>34.756750000000004</v>
      </c>
      <c r="X752">
        <f t="shared" si="35"/>
        <v>34.239000000000004</v>
      </c>
      <c r="Y752">
        <v>13</v>
      </c>
      <c r="Z752" s="2" t="s">
        <v>455</v>
      </c>
    </row>
    <row r="753" spans="1:26" x14ac:dyDescent="0.25">
      <c r="A753">
        <v>623</v>
      </c>
      <c r="B753">
        <v>844</v>
      </c>
      <c r="C753" t="s">
        <v>22</v>
      </c>
      <c r="D753" t="s">
        <v>29</v>
      </c>
      <c r="E753" t="s">
        <v>30</v>
      </c>
      <c r="F753" t="s">
        <v>701</v>
      </c>
      <c r="G753" t="str">
        <f>VLOOKUP(F753,Hospitals!E:H,4,FALSE)</f>
        <v>28.47841 , 77.02261</v>
      </c>
      <c r="H753" s="1">
        <v>45391</v>
      </c>
      <c r="I753" s="1">
        <v>45391</v>
      </c>
      <c r="J753">
        <v>80.891999999999996</v>
      </c>
      <c r="K753">
        <v>79.882000000000005</v>
      </c>
      <c r="L753">
        <v>77.272999999999996</v>
      </c>
      <c r="M753">
        <v>52.941000000000003</v>
      </c>
      <c r="N753">
        <v>56.521999999999998</v>
      </c>
      <c r="O753">
        <v>56.521999999999998</v>
      </c>
      <c r="P753">
        <v>52.941000000000003</v>
      </c>
      <c r="Q753">
        <v>56.521999999999998</v>
      </c>
      <c r="R753">
        <v>56.521999999999998</v>
      </c>
      <c r="S753">
        <v>20</v>
      </c>
      <c r="T753">
        <v>25</v>
      </c>
      <c r="U753">
        <v>14.286</v>
      </c>
      <c r="V753">
        <f t="shared" si="33"/>
        <v>51.6935</v>
      </c>
      <c r="W753">
        <f t="shared" si="34"/>
        <v>54.481499999999997</v>
      </c>
      <c r="X753">
        <f t="shared" si="35"/>
        <v>51.150749999999995</v>
      </c>
      <c r="Y753">
        <v>13</v>
      </c>
      <c r="Z753" s="2" t="s">
        <v>31</v>
      </c>
    </row>
    <row r="754" spans="1:26" x14ac:dyDescent="0.25">
      <c r="A754">
        <v>764</v>
      </c>
      <c r="B754">
        <v>846</v>
      </c>
      <c r="C754" t="s">
        <v>22</v>
      </c>
      <c r="D754" t="s">
        <v>29</v>
      </c>
      <c r="E754" t="s">
        <v>30</v>
      </c>
      <c r="F754" t="s">
        <v>702</v>
      </c>
      <c r="G754" t="str">
        <f>VLOOKUP(F754,Hospitals!E:H,4,FALSE)</f>
        <v>30.14911 , 77.3058</v>
      </c>
      <c r="H754" s="1">
        <v>45451</v>
      </c>
      <c r="I754" s="1">
        <v>45451</v>
      </c>
      <c r="J754">
        <v>86.623999999999995</v>
      </c>
      <c r="K754">
        <v>87.573999999999998</v>
      </c>
      <c r="L754">
        <v>88.067999999999998</v>
      </c>
      <c r="M754">
        <v>100</v>
      </c>
      <c r="N754">
        <v>100</v>
      </c>
      <c r="O754">
        <v>100</v>
      </c>
      <c r="P754">
        <v>100</v>
      </c>
      <c r="Q754">
        <v>100</v>
      </c>
      <c r="R754">
        <v>100</v>
      </c>
      <c r="S754">
        <v>70</v>
      </c>
      <c r="T754">
        <v>75</v>
      </c>
      <c r="U754">
        <v>64.286000000000001</v>
      </c>
      <c r="V754">
        <f t="shared" si="33"/>
        <v>89.156000000000006</v>
      </c>
      <c r="W754">
        <f t="shared" si="34"/>
        <v>90.643500000000003</v>
      </c>
      <c r="X754">
        <f t="shared" si="35"/>
        <v>88.088499999999996</v>
      </c>
      <c r="Y754">
        <v>13</v>
      </c>
      <c r="Z754" s="2" t="s">
        <v>31</v>
      </c>
    </row>
    <row r="755" spans="1:26" x14ac:dyDescent="0.25">
      <c r="A755">
        <v>560</v>
      </c>
      <c r="B755">
        <v>849</v>
      </c>
      <c r="C755" t="s">
        <v>22</v>
      </c>
      <c r="D755" t="s">
        <v>508</v>
      </c>
      <c r="E755" t="s">
        <v>30</v>
      </c>
      <c r="F755" t="s">
        <v>703</v>
      </c>
      <c r="G755" t="str">
        <f>VLOOKUP(F755,Hospitals!E:H,4,FALSE)</f>
        <v>28.55076 , 77.19813</v>
      </c>
      <c r="H755" s="1">
        <v>45386</v>
      </c>
      <c r="I755" s="1">
        <v>45386</v>
      </c>
      <c r="J755">
        <v>88.534999999999997</v>
      </c>
      <c r="K755">
        <v>87.573999999999998</v>
      </c>
      <c r="L755">
        <v>85.227000000000004</v>
      </c>
      <c r="M755">
        <v>35.293999999999997</v>
      </c>
      <c r="N755">
        <v>43.478000000000002</v>
      </c>
      <c r="O755">
        <v>43.478000000000002</v>
      </c>
      <c r="P755">
        <v>35.293999999999997</v>
      </c>
      <c r="Q755">
        <v>43.478000000000002</v>
      </c>
      <c r="R755">
        <v>43.478000000000002</v>
      </c>
      <c r="S755">
        <v>10</v>
      </c>
      <c r="T755">
        <v>8.3330000000000002</v>
      </c>
      <c r="U755">
        <v>0</v>
      </c>
      <c r="V755">
        <f t="shared" si="33"/>
        <v>42.280749999999998</v>
      </c>
      <c r="W755">
        <f t="shared" si="34"/>
        <v>45.71575</v>
      </c>
      <c r="X755">
        <f t="shared" si="35"/>
        <v>43.045750000000005</v>
      </c>
      <c r="Y755">
        <v>13</v>
      </c>
      <c r="Z755" s="2" t="s">
        <v>510</v>
      </c>
    </row>
    <row r="756" spans="1:26" x14ac:dyDescent="0.25">
      <c r="A756">
        <v>549</v>
      </c>
      <c r="B756">
        <v>850</v>
      </c>
      <c r="C756" t="s">
        <v>22</v>
      </c>
      <c r="D756" t="s">
        <v>536</v>
      </c>
      <c r="E756" t="s">
        <v>30</v>
      </c>
      <c r="F756" t="s">
        <v>704</v>
      </c>
      <c r="G756" t="str">
        <f>VLOOKUP(F756,Hospitals!E:H,4,FALSE)</f>
        <v>28.89212 , 76.60746</v>
      </c>
      <c r="H756" s="1">
        <v>45385</v>
      </c>
      <c r="I756" s="1">
        <v>45386</v>
      </c>
      <c r="J756">
        <v>100</v>
      </c>
      <c r="K756">
        <v>100</v>
      </c>
      <c r="L756">
        <v>100</v>
      </c>
      <c r="M756">
        <v>94.117999999999995</v>
      </c>
      <c r="N756">
        <v>95.652000000000001</v>
      </c>
      <c r="O756">
        <v>95.652000000000001</v>
      </c>
      <c r="P756">
        <v>94.117999999999995</v>
      </c>
      <c r="Q756">
        <v>95.652000000000001</v>
      </c>
      <c r="R756">
        <v>95.652000000000001</v>
      </c>
      <c r="S756">
        <v>20</v>
      </c>
      <c r="T756">
        <v>25</v>
      </c>
      <c r="U756">
        <v>14.286</v>
      </c>
      <c r="V756">
        <f t="shared" si="33"/>
        <v>77.058999999999997</v>
      </c>
      <c r="W756">
        <f t="shared" si="34"/>
        <v>79.075999999999993</v>
      </c>
      <c r="X756">
        <f t="shared" si="35"/>
        <v>76.397499999999994</v>
      </c>
      <c r="Y756">
        <v>13</v>
      </c>
      <c r="Z756" s="2" t="s">
        <v>538</v>
      </c>
    </row>
    <row r="757" spans="1:26" x14ac:dyDescent="0.25">
      <c r="A757">
        <v>900</v>
      </c>
      <c r="B757">
        <v>852</v>
      </c>
      <c r="C757" t="s">
        <v>22</v>
      </c>
      <c r="D757" t="s">
        <v>508</v>
      </c>
      <c r="E757" t="s">
        <v>39</v>
      </c>
      <c r="F757" t="s">
        <v>705</v>
      </c>
      <c r="G757" t="str">
        <f>VLOOKUP(F757,Hospitals!E:H,4,FALSE)</f>
        <v>28.47215 , 77.3195</v>
      </c>
      <c r="H757" s="1">
        <v>45545</v>
      </c>
      <c r="I757" s="1">
        <v>45545</v>
      </c>
      <c r="J757">
        <v>24.841000000000001</v>
      </c>
      <c r="K757">
        <v>23.669</v>
      </c>
      <c r="L757">
        <v>22.727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f t="shared" si="33"/>
        <v>6.2102500000000003</v>
      </c>
      <c r="W757">
        <f t="shared" si="34"/>
        <v>5.9172500000000001</v>
      </c>
      <c r="X757">
        <f t="shared" si="35"/>
        <v>5.6817500000000001</v>
      </c>
      <c r="Y757">
        <v>13</v>
      </c>
      <c r="Z757" s="2" t="s">
        <v>510</v>
      </c>
    </row>
    <row r="758" spans="1:26" x14ac:dyDescent="0.25">
      <c r="A758">
        <v>1001</v>
      </c>
      <c r="B758">
        <v>853</v>
      </c>
      <c r="C758" t="s">
        <v>22</v>
      </c>
      <c r="D758" t="s">
        <v>508</v>
      </c>
      <c r="E758" t="s">
        <v>39</v>
      </c>
      <c r="F758" t="s">
        <v>706</v>
      </c>
      <c r="G758" t="e">
        <f>VLOOKUP(F758,Hospitals!E:H,4,FALSE)</f>
        <v>#N/A</v>
      </c>
      <c r="H758" s="1">
        <v>45534</v>
      </c>
      <c r="I758" t="s">
        <v>35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f t="shared" si="33"/>
        <v>0</v>
      </c>
      <c r="W758">
        <f t="shared" si="34"/>
        <v>0</v>
      </c>
      <c r="X758">
        <f t="shared" si="35"/>
        <v>0</v>
      </c>
      <c r="Y758">
        <v>13</v>
      </c>
      <c r="Z758" s="2" t="s">
        <v>510</v>
      </c>
    </row>
    <row r="759" spans="1:26" x14ac:dyDescent="0.25">
      <c r="A759">
        <v>980</v>
      </c>
      <c r="B759">
        <v>855</v>
      </c>
      <c r="C759" t="s">
        <v>22</v>
      </c>
      <c r="D759" t="s">
        <v>508</v>
      </c>
      <c r="E759" t="s">
        <v>39</v>
      </c>
      <c r="F759" t="s">
        <v>707</v>
      </c>
      <c r="G759" t="str">
        <f>VLOOKUP(F759,Hospitals!E:H,4,FALSE)</f>
        <v>28.5737 , 77.22762</v>
      </c>
      <c r="H759" s="1">
        <v>45527</v>
      </c>
      <c r="I759" s="1">
        <v>45527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f t="shared" si="33"/>
        <v>0</v>
      </c>
      <c r="W759">
        <f t="shared" si="34"/>
        <v>0</v>
      </c>
      <c r="X759">
        <f t="shared" si="35"/>
        <v>0</v>
      </c>
      <c r="Y759">
        <v>13</v>
      </c>
      <c r="Z759" s="2" t="s">
        <v>510</v>
      </c>
    </row>
    <row r="760" spans="1:26" x14ac:dyDescent="0.25">
      <c r="A760">
        <v>993</v>
      </c>
      <c r="B760">
        <v>856</v>
      </c>
      <c r="C760" t="s">
        <v>22</v>
      </c>
      <c r="D760" t="s">
        <v>508</v>
      </c>
      <c r="E760" t="s">
        <v>39</v>
      </c>
      <c r="F760" t="s">
        <v>708</v>
      </c>
      <c r="G760" t="str">
        <f>VLOOKUP(F760,Hospitals!E:H,4,FALSE)</f>
        <v>28.56387 , 77.16864</v>
      </c>
      <c r="H760" s="1">
        <v>45532</v>
      </c>
      <c r="I760" s="1">
        <v>45532</v>
      </c>
      <c r="J760">
        <v>10.191000000000001</v>
      </c>
      <c r="K760">
        <v>9.4670000000000005</v>
      </c>
      <c r="L760">
        <v>9.0909999999999993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f t="shared" si="33"/>
        <v>2.5477500000000002</v>
      </c>
      <c r="W760">
        <f t="shared" si="34"/>
        <v>2.3667500000000001</v>
      </c>
      <c r="X760">
        <f t="shared" si="35"/>
        <v>2.2727499999999998</v>
      </c>
      <c r="Y760">
        <v>13</v>
      </c>
      <c r="Z760" s="2" t="s">
        <v>510</v>
      </c>
    </row>
    <row r="761" spans="1:26" x14ac:dyDescent="0.25">
      <c r="A761">
        <v>989</v>
      </c>
      <c r="B761">
        <v>856</v>
      </c>
      <c r="C761" t="s">
        <v>22</v>
      </c>
      <c r="D761" t="s">
        <v>508</v>
      </c>
      <c r="E761" t="s">
        <v>39</v>
      </c>
      <c r="F761" t="s">
        <v>708</v>
      </c>
      <c r="G761" t="str">
        <f>VLOOKUP(F761,Hospitals!E:H,4,FALSE)</f>
        <v>28.56387 , 77.16864</v>
      </c>
      <c r="H761" s="1">
        <v>45532</v>
      </c>
      <c r="I761" s="1">
        <v>45532</v>
      </c>
      <c r="J761">
        <v>10.191000000000001</v>
      </c>
      <c r="K761">
        <v>9.4670000000000005</v>
      </c>
      <c r="L761">
        <v>9.0909999999999993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f t="shared" si="33"/>
        <v>2.5477500000000002</v>
      </c>
      <c r="W761">
        <f t="shared" si="34"/>
        <v>2.3667500000000001</v>
      </c>
      <c r="X761">
        <f t="shared" si="35"/>
        <v>2.2727499999999998</v>
      </c>
      <c r="Y761">
        <v>13</v>
      </c>
      <c r="Z761" s="2" t="s">
        <v>510</v>
      </c>
    </row>
    <row r="762" spans="1:26" x14ac:dyDescent="0.25">
      <c r="A762">
        <v>999</v>
      </c>
      <c r="B762">
        <v>857</v>
      </c>
      <c r="C762" t="s">
        <v>22</v>
      </c>
      <c r="D762" t="s">
        <v>508</v>
      </c>
      <c r="E762" t="s">
        <v>39</v>
      </c>
      <c r="F762" t="s">
        <v>709</v>
      </c>
      <c r="G762" t="str">
        <f>VLOOKUP(F762,Hospitals!E:H,4,FALSE)</f>
        <v>28.59008 , 77.2309</v>
      </c>
      <c r="H762" s="1">
        <v>45534</v>
      </c>
      <c r="I762" t="s">
        <v>35</v>
      </c>
      <c r="J762">
        <v>8.2799999999999994</v>
      </c>
      <c r="K762">
        <v>7.6920000000000002</v>
      </c>
      <c r="L762">
        <v>7.3860000000000001</v>
      </c>
      <c r="M762">
        <v>23.529</v>
      </c>
      <c r="N762">
        <v>17.390999999999998</v>
      </c>
      <c r="O762">
        <v>17.390999999999998</v>
      </c>
      <c r="P762">
        <v>23.529</v>
      </c>
      <c r="Q762">
        <v>17.390999999999998</v>
      </c>
      <c r="R762">
        <v>17.390999999999998</v>
      </c>
      <c r="S762">
        <v>0</v>
      </c>
      <c r="T762">
        <v>0</v>
      </c>
      <c r="U762">
        <v>0</v>
      </c>
      <c r="V762">
        <f t="shared" si="33"/>
        <v>13.834499999999998</v>
      </c>
      <c r="W762">
        <f t="shared" si="34"/>
        <v>10.618499999999999</v>
      </c>
      <c r="X762">
        <f t="shared" si="35"/>
        <v>10.541999999999998</v>
      </c>
      <c r="Y762">
        <v>13</v>
      </c>
      <c r="Z762" s="2" t="s">
        <v>510</v>
      </c>
    </row>
    <row r="763" spans="1:26" x14ac:dyDescent="0.25">
      <c r="A763">
        <v>994</v>
      </c>
      <c r="B763">
        <v>858</v>
      </c>
      <c r="C763" t="s">
        <v>22</v>
      </c>
      <c r="D763" t="s">
        <v>508</v>
      </c>
      <c r="E763" t="s">
        <v>39</v>
      </c>
      <c r="F763" t="s">
        <v>710</v>
      </c>
      <c r="G763" t="str">
        <f>VLOOKUP(F763,Hospitals!E:H,4,FALSE)</f>
        <v>28.50161 , 77.23745</v>
      </c>
      <c r="H763" s="1">
        <v>45532</v>
      </c>
      <c r="I763" s="1">
        <v>45532</v>
      </c>
      <c r="J763">
        <v>6.3689999999999998</v>
      </c>
      <c r="K763">
        <v>5.9169999999999998</v>
      </c>
      <c r="L763">
        <v>5.6820000000000004</v>
      </c>
      <c r="M763">
        <v>17.646999999999998</v>
      </c>
      <c r="N763">
        <v>13.042999999999999</v>
      </c>
      <c r="O763">
        <v>13.042999999999999</v>
      </c>
      <c r="P763">
        <v>17.646999999999998</v>
      </c>
      <c r="Q763">
        <v>13.042999999999999</v>
      </c>
      <c r="R763">
        <v>13.042999999999999</v>
      </c>
      <c r="S763">
        <v>0</v>
      </c>
      <c r="T763">
        <v>0</v>
      </c>
      <c r="U763">
        <v>0</v>
      </c>
      <c r="V763">
        <f t="shared" si="33"/>
        <v>10.415749999999999</v>
      </c>
      <c r="W763">
        <f t="shared" si="34"/>
        <v>8.00075</v>
      </c>
      <c r="X763">
        <f t="shared" si="35"/>
        <v>7.9420000000000002</v>
      </c>
      <c r="Y763">
        <v>13</v>
      </c>
      <c r="Z763" s="2" t="s">
        <v>510</v>
      </c>
    </row>
    <row r="764" spans="1:26" x14ac:dyDescent="0.25">
      <c r="A764">
        <v>988</v>
      </c>
      <c r="B764">
        <v>859</v>
      </c>
      <c r="C764" t="s">
        <v>22</v>
      </c>
      <c r="D764" t="s">
        <v>508</v>
      </c>
      <c r="E764" t="s">
        <v>39</v>
      </c>
      <c r="F764" t="s">
        <v>711</v>
      </c>
      <c r="G764" t="str">
        <f>VLOOKUP(F764,Hospitals!E:H,4,FALSE)</f>
        <v>28.39214 , 77.31735</v>
      </c>
      <c r="H764" s="1">
        <v>45531</v>
      </c>
      <c r="I764" s="1">
        <v>45531</v>
      </c>
      <c r="J764">
        <v>9.5540000000000003</v>
      </c>
      <c r="K764">
        <v>8.8759999999999994</v>
      </c>
      <c r="L764">
        <v>8.5229999999999997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f t="shared" si="33"/>
        <v>2.3885000000000001</v>
      </c>
      <c r="W764">
        <f t="shared" si="34"/>
        <v>2.2189999999999999</v>
      </c>
      <c r="X764">
        <f t="shared" si="35"/>
        <v>2.1307499999999999</v>
      </c>
      <c r="Y764">
        <v>13</v>
      </c>
      <c r="Z764" s="2" t="s">
        <v>510</v>
      </c>
    </row>
    <row r="765" spans="1:26" x14ac:dyDescent="0.25">
      <c r="A765">
        <v>987</v>
      </c>
      <c r="B765">
        <v>863</v>
      </c>
      <c r="C765" t="s">
        <v>22</v>
      </c>
      <c r="D765" t="s">
        <v>508</v>
      </c>
      <c r="E765" t="s">
        <v>30</v>
      </c>
      <c r="F765" t="s">
        <v>712</v>
      </c>
      <c r="G765" t="e">
        <f>VLOOKUP(F765,Hospitals!E:H,4,FALSE)</f>
        <v>#N/A</v>
      </c>
      <c r="H765" s="1">
        <v>45531</v>
      </c>
      <c r="I765" t="s">
        <v>35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f t="shared" si="33"/>
        <v>0</v>
      </c>
      <c r="W765">
        <f t="shared" si="34"/>
        <v>0</v>
      </c>
      <c r="X765">
        <f t="shared" si="35"/>
        <v>0</v>
      </c>
      <c r="Y765">
        <v>13</v>
      </c>
      <c r="Z765" s="2" t="s">
        <v>510</v>
      </c>
    </row>
    <row r="766" spans="1:26" x14ac:dyDescent="0.25">
      <c r="A766">
        <v>1000</v>
      </c>
      <c r="B766">
        <v>864</v>
      </c>
      <c r="C766" t="s">
        <v>22</v>
      </c>
      <c r="D766" t="s">
        <v>508</v>
      </c>
      <c r="E766" t="s">
        <v>30</v>
      </c>
      <c r="F766" t="s">
        <v>713</v>
      </c>
      <c r="G766" t="e">
        <f>VLOOKUP(F766,Hospitals!E:H,4,FALSE)</f>
        <v>#N/A</v>
      </c>
      <c r="H766" s="1">
        <v>45534</v>
      </c>
      <c r="I766" t="s">
        <v>35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f t="shared" si="33"/>
        <v>0</v>
      </c>
      <c r="W766">
        <f t="shared" si="34"/>
        <v>0</v>
      </c>
      <c r="X766">
        <f t="shared" si="35"/>
        <v>0</v>
      </c>
      <c r="Y766">
        <v>13</v>
      </c>
      <c r="Z766" s="2" t="s">
        <v>510</v>
      </c>
    </row>
    <row r="767" spans="1:26" x14ac:dyDescent="0.25">
      <c r="A767">
        <v>561</v>
      </c>
      <c r="B767">
        <v>865</v>
      </c>
      <c r="C767" t="s">
        <v>22</v>
      </c>
      <c r="D767" t="s">
        <v>508</v>
      </c>
      <c r="E767" t="s">
        <v>30</v>
      </c>
      <c r="F767" t="s">
        <v>714</v>
      </c>
      <c r="G767" t="str">
        <f>VLOOKUP(F767,Hospitals!E:H,4,FALSE)</f>
        <v>28.36161 , 77.28145</v>
      </c>
      <c r="H767" s="1">
        <v>45385</v>
      </c>
      <c r="I767" s="1">
        <v>45385</v>
      </c>
      <c r="J767">
        <v>82.802999999999997</v>
      </c>
      <c r="K767">
        <v>82.84</v>
      </c>
      <c r="L767">
        <v>80.682000000000002</v>
      </c>
      <c r="M767">
        <v>76.471000000000004</v>
      </c>
      <c r="N767">
        <v>78.260999999999996</v>
      </c>
      <c r="O767">
        <v>78.260999999999996</v>
      </c>
      <c r="P767">
        <v>76.471000000000004</v>
      </c>
      <c r="Q767">
        <v>78.260999999999996</v>
      </c>
      <c r="R767">
        <v>78.260999999999996</v>
      </c>
      <c r="S767">
        <v>30</v>
      </c>
      <c r="T767">
        <v>16.667000000000002</v>
      </c>
      <c r="U767">
        <v>7.1429999999999998</v>
      </c>
      <c r="V767">
        <f t="shared" si="33"/>
        <v>66.436250000000001</v>
      </c>
      <c r="W767">
        <f t="shared" si="34"/>
        <v>64.007249999999999</v>
      </c>
      <c r="X767">
        <f t="shared" si="35"/>
        <v>61.086749999999995</v>
      </c>
      <c r="Y767">
        <v>13</v>
      </c>
      <c r="Z767" s="2" t="s">
        <v>510</v>
      </c>
    </row>
    <row r="768" spans="1:26" x14ac:dyDescent="0.25">
      <c r="A768">
        <v>624</v>
      </c>
      <c r="B768">
        <v>867</v>
      </c>
      <c r="C768" t="s">
        <v>22</v>
      </c>
      <c r="D768" t="s">
        <v>508</v>
      </c>
      <c r="E768" t="s">
        <v>30</v>
      </c>
      <c r="F768" t="s">
        <v>715</v>
      </c>
      <c r="G768" t="str">
        <f>VLOOKUP(F768,Hospitals!E:H,4,FALSE)</f>
        <v>28.33777 , 77.3292</v>
      </c>
      <c r="H768" s="1">
        <v>45394</v>
      </c>
      <c r="I768" s="1">
        <v>45394</v>
      </c>
      <c r="J768">
        <v>87.260999999999996</v>
      </c>
      <c r="K768">
        <v>86.981999999999999</v>
      </c>
      <c r="L768">
        <v>84.090999999999994</v>
      </c>
      <c r="M768">
        <v>64.706000000000003</v>
      </c>
      <c r="N768">
        <v>65.216999999999999</v>
      </c>
      <c r="O768">
        <v>65.216999999999999</v>
      </c>
      <c r="P768">
        <v>64.706000000000003</v>
      </c>
      <c r="Q768">
        <v>65.216999999999999</v>
      </c>
      <c r="R768">
        <v>65.216999999999999</v>
      </c>
      <c r="S768">
        <v>20</v>
      </c>
      <c r="T768">
        <v>16.667000000000002</v>
      </c>
      <c r="U768">
        <v>0</v>
      </c>
      <c r="V768">
        <f t="shared" si="33"/>
        <v>59.16825</v>
      </c>
      <c r="W768">
        <f t="shared" si="34"/>
        <v>58.52075</v>
      </c>
      <c r="X768">
        <f t="shared" si="35"/>
        <v>53.631249999999994</v>
      </c>
      <c r="Y768">
        <v>13</v>
      </c>
      <c r="Z768" s="2" t="s">
        <v>510</v>
      </c>
    </row>
    <row r="769" spans="1:26" x14ac:dyDescent="0.25">
      <c r="A769">
        <v>636</v>
      </c>
      <c r="B769">
        <v>868</v>
      </c>
      <c r="C769" t="s">
        <v>22</v>
      </c>
      <c r="D769" t="s">
        <v>29</v>
      </c>
      <c r="E769" t="s">
        <v>30</v>
      </c>
      <c r="F769" t="s">
        <v>716</v>
      </c>
      <c r="G769" t="e">
        <f>VLOOKUP(F769,Hospitals!E:H,4,FALSE)</f>
        <v>#N/A</v>
      </c>
      <c r="H769" s="1">
        <v>45455</v>
      </c>
      <c r="I769" s="1">
        <v>45455</v>
      </c>
      <c r="J769">
        <v>91.082999999999998</v>
      </c>
      <c r="K769">
        <v>89.941000000000003</v>
      </c>
      <c r="L769">
        <v>88.067999999999998</v>
      </c>
      <c r="M769">
        <v>58.823999999999998</v>
      </c>
      <c r="N769">
        <v>56.521999999999998</v>
      </c>
      <c r="O769">
        <v>56.521999999999998</v>
      </c>
      <c r="P769">
        <v>58.823999999999998</v>
      </c>
      <c r="Q769">
        <v>56.521999999999998</v>
      </c>
      <c r="R769">
        <v>56.521999999999998</v>
      </c>
      <c r="S769">
        <v>60</v>
      </c>
      <c r="T769">
        <v>41.667000000000002</v>
      </c>
      <c r="U769">
        <v>14.286</v>
      </c>
      <c r="V769">
        <f t="shared" si="33"/>
        <v>67.182749999999999</v>
      </c>
      <c r="W769">
        <f t="shared" si="34"/>
        <v>61.162999999999997</v>
      </c>
      <c r="X769">
        <f t="shared" si="35"/>
        <v>53.849499999999999</v>
      </c>
      <c r="Y769">
        <v>13</v>
      </c>
      <c r="Z769" s="2" t="s">
        <v>31</v>
      </c>
    </row>
    <row r="770" spans="1:26" x14ac:dyDescent="0.25">
      <c r="A770">
        <v>635</v>
      </c>
      <c r="B770">
        <v>869</v>
      </c>
      <c r="C770" t="s">
        <v>22</v>
      </c>
      <c r="D770" t="s">
        <v>29</v>
      </c>
      <c r="E770" t="s">
        <v>30</v>
      </c>
      <c r="F770" t="s">
        <v>717</v>
      </c>
      <c r="G770" t="e">
        <f>VLOOKUP(F770,Hospitals!E:H,4,FALSE)</f>
        <v>#N/A</v>
      </c>
      <c r="H770" s="1">
        <v>45420</v>
      </c>
      <c r="I770" s="1">
        <v>45420</v>
      </c>
      <c r="J770">
        <v>77.069999999999993</v>
      </c>
      <c r="K770">
        <v>76.923000000000002</v>
      </c>
      <c r="L770">
        <v>75.567999999999998</v>
      </c>
      <c r="M770">
        <v>64.706000000000003</v>
      </c>
      <c r="N770">
        <v>65.216999999999999</v>
      </c>
      <c r="O770">
        <v>65.216999999999999</v>
      </c>
      <c r="P770">
        <v>64.706000000000003</v>
      </c>
      <c r="Q770">
        <v>65.216999999999999</v>
      </c>
      <c r="R770">
        <v>65.216999999999999</v>
      </c>
      <c r="S770">
        <v>30</v>
      </c>
      <c r="T770">
        <v>25</v>
      </c>
      <c r="U770">
        <v>14.286</v>
      </c>
      <c r="V770">
        <f t="shared" si="33"/>
        <v>59.120500000000007</v>
      </c>
      <c r="W770">
        <f t="shared" si="34"/>
        <v>58.089249999999993</v>
      </c>
      <c r="X770">
        <f t="shared" si="35"/>
        <v>55.072000000000003</v>
      </c>
      <c r="Y770">
        <v>13</v>
      </c>
      <c r="Z770" s="2" t="s">
        <v>31</v>
      </c>
    </row>
    <row r="771" spans="1:26" x14ac:dyDescent="0.25">
      <c r="A771">
        <v>779</v>
      </c>
      <c r="B771">
        <v>870</v>
      </c>
      <c r="C771" t="s">
        <v>22</v>
      </c>
      <c r="D771" t="s">
        <v>29</v>
      </c>
      <c r="E771" t="s">
        <v>30</v>
      </c>
      <c r="F771" t="s">
        <v>718</v>
      </c>
      <c r="G771" t="e">
        <f>VLOOKUP(F771,Hospitals!E:H,4,FALSE)</f>
        <v>#N/A</v>
      </c>
      <c r="H771" s="1">
        <v>45448</v>
      </c>
      <c r="I771" s="1">
        <v>45448</v>
      </c>
      <c r="J771">
        <v>64.331000000000003</v>
      </c>
      <c r="K771">
        <v>62.13</v>
      </c>
      <c r="L771">
        <v>59.658999999999999</v>
      </c>
      <c r="M771">
        <v>47.058999999999997</v>
      </c>
      <c r="N771">
        <v>52.173999999999999</v>
      </c>
      <c r="O771">
        <v>52.173999999999999</v>
      </c>
      <c r="P771">
        <v>47.058999999999997</v>
      </c>
      <c r="Q771">
        <v>52.173999999999999</v>
      </c>
      <c r="R771">
        <v>52.173999999999999</v>
      </c>
      <c r="S771">
        <v>0</v>
      </c>
      <c r="T771">
        <v>0</v>
      </c>
      <c r="U771">
        <v>0</v>
      </c>
      <c r="V771">
        <f t="shared" ref="V771:V834" si="36">AVERAGE(J771,M771,P771,S771)</f>
        <v>39.612250000000003</v>
      </c>
      <c r="W771">
        <f t="shared" ref="W771:W834" si="37">AVERAGE(K771,N771,Q771,T771)</f>
        <v>41.619500000000002</v>
      </c>
      <c r="X771">
        <f t="shared" ref="X771:X834" si="38">AVERAGE(L771,O771,R771,U771)</f>
        <v>41.001750000000001</v>
      </c>
      <c r="Y771">
        <v>13</v>
      </c>
      <c r="Z771" s="2" t="s">
        <v>31</v>
      </c>
    </row>
    <row r="772" spans="1:26" x14ac:dyDescent="0.25">
      <c r="A772">
        <v>711</v>
      </c>
      <c r="B772">
        <v>870</v>
      </c>
      <c r="C772" t="s">
        <v>22</v>
      </c>
      <c r="D772" t="s">
        <v>29</v>
      </c>
      <c r="E772" t="s">
        <v>30</v>
      </c>
      <c r="F772" t="s">
        <v>718</v>
      </c>
      <c r="G772" t="e">
        <f>VLOOKUP(F772,Hospitals!E:H,4,FALSE)</f>
        <v>#N/A</v>
      </c>
      <c r="H772" s="1">
        <v>45443</v>
      </c>
      <c r="I772" s="1">
        <v>45443</v>
      </c>
      <c r="J772">
        <v>64.331000000000003</v>
      </c>
      <c r="K772">
        <v>62.13</v>
      </c>
      <c r="L772">
        <v>59.658999999999999</v>
      </c>
      <c r="M772">
        <v>47.058999999999997</v>
      </c>
      <c r="N772">
        <v>52.173999999999999</v>
      </c>
      <c r="O772">
        <v>52.173999999999999</v>
      </c>
      <c r="P772">
        <v>47.058999999999997</v>
      </c>
      <c r="Q772">
        <v>52.173999999999999</v>
      </c>
      <c r="R772">
        <v>52.173999999999999</v>
      </c>
      <c r="S772">
        <v>0</v>
      </c>
      <c r="T772">
        <v>0</v>
      </c>
      <c r="U772">
        <v>0</v>
      </c>
      <c r="V772">
        <f t="shared" si="36"/>
        <v>39.612250000000003</v>
      </c>
      <c r="W772">
        <f t="shared" si="37"/>
        <v>41.619500000000002</v>
      </c>
      <c r="X772">
        <f t="shared" si="38"/>
        <v>41.001750000000001</v>
      </c>
      <c r="Y772">
        <v>13</v>
      </c>
      <c r="Z772" s="2" t="s">
        <v>31</v>
      </c>
    </row>
    <row r="773" spans="1:26" x14ac:dyDescent="0.25">
      <c r="A773">
        <v>638</v>
      </c>
      <c r="B773">
        <v>871</v>
      </c>
      <c r="C773" t="s">
        <v>22</v>
      </c>
      <c r="D773" t="s">
        <v>29</v>
      </c>
      <c r="E773" t="s">
        <v>30</v>
      </c>
      <c r="F773" t="s">
        <v>719</v>
      </c>
      <c r="G773" t="e">
        <f>VLOOKUP(F773,Hospitals!E:H,4,FALSE)</f>
        <v>#N/A</v>
      </c>
      <c r="H773" s="1">
        <v>45453</v>
      </c>
      <c r="I773" s="1">
        <v>45453</v>
      </c>
      <c r="J773">
        <v>83.438999999999993</v>
      </c>
      <c r="K773">
        <v>81.064999999999998</v>
      </c>
      <c r="L773">
        <v>78.409000000000006</v>
      </c>
      <c r="M773">
        <v>82.352999999999994</v>
      </c>
      <c r="N773">
        <v>78.260999999999996</v>
      </c>
      <c r="O773">
        <v>78.260999999999996</v>
      </c>
      <c r="P773">
        <v>82.352999999999994</v>
      </c>
      <c r="Q773">
        <v>78.260999999999996</v>
      </c>
      <c r="R773">
        <v>78.260999999999996</v>
      </c>
      <c r="S773">
        <v>10</v>
      </c>
      <c r="T773">
        <v>8.3330000000000002</v>
      </c>
      <c r="U773">
        <v>7.1429999999999998</v>
      </c>
      <c r="V773">
        <f t="shared" si="36"/>
        <v>64.536249999999995</v>
      </c>
      <c r="W773">
        <f t="shared" si="37"/>
        <v>61.48</v>
      </c>
      <c r="X773">
        <f t="shared" si="38"/>
        <v>60.518500000000003</v>
      </c>
      <c r="Y773">
        <v>13</v>
      </c>
      <c r="Z773" s="2" t="s">
        <v>31</v>
      </c>
    </row>
    <row r="774" spans="1:26" x14ac:dyDescent="0.25">
      <c r="A774">
        <v>647</v>
      </c>
      <c r="B774">
        <v>873</v>
      </c>
      <c r="C774" t="s">
        <v>22</v>
      </c>
      <c r="D774" t="s">
        <v>29</v>
      </c>
      <c r="E774" t="s">
        <v>30</v>
      </c>
      <c r="F774" t="s">
        <v>720</v>
      </c>
      <c r="G774" t="e">
        <f>VLOOKUP(F774,Hospitals!E:H,4,FALSE)</f>
        <v>#N/A</v>
      </c>
      <c r="H774" s="1">
        <v>45486</v>
      </c>
      <c r="I774" t="s">
        <v>35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f t="shared" si="36"/>
        <v>0</v>
      </c>
      <c r="W774">
        <f t="shared" si="37"/>
        <v>0</v>
      </c>
      <c r="X774">
        <f t="shared" si="38"/>
        <v>0</v>
      </c>
      <c r="Y774">
        <v>13</v>
      </c>
      <c r="Z774" s="2" t="s">
        <v>31</v>
      </c>
    </row>
    <row r="775" spans="1:26" x14ac:dyDescent="0.25">
      <c r="A775">
        <v>712</v>
      </c>
      <c r="B775">
        <v>874</v>
      </c>
      <c r="C775" t="s">
        <v>22</v>
      </c>
      <c r="D775" t="s">
        <v>239</v>
      </c>
      <c r="E775" t="s">
        <v>30</v>
      </c>
      <c r="F775" t="s">
        <v>721</v>
      </c>
      <c r="G775" t="str">
        <f>VLOOKUP(F775,Hospitals!E:H,4,FALSE)</f>
        <v>29.80604 , 76.39625</v>
      </c>
      <c r="H775" s="1">
        <v>45547</v>
      </c>
      <c r="I775" s="1">
        <v>45547</v>
      </c>
      <c r="J775">
        <v>92.994</v>
      </c>
      <c r="K775">
        <v>90.533000000000001</v>
      </c>
      <c r="L775">
        <v>87.5</v>
      </c>
      <c r="M775">
        <v>70.587999999999994</v>
      </c>
      <c r="N775">
        <v>69.564999999999998</v>
      </c>
      <c r="O775">
        <v>69.564999999999998</v>
      </c>
      <c r="P775">
        <v>70.587999999999994</v>
      </c>
      <c r="Q775">
        <v>69.564999999999998</v>
      </c>
      <c r="R775">
        <v>69.564999999999998</v>
      </c>
      <c r="S775">
        <v>10</v>
      </c>
      <c r="T775">
        <v>0</v>
      </c>
      <c r="U775">
        <v>0</v>
      </c>
      <c r="V775">
        <f t="shared" si="36"/>
        <v>61.042499999999997</v>
      </c>
      <c r="W775">
        <f t="shared" si="37"/>
        <v>57.415750000000003</v>
      </c>
      <c r="X775">
        <f t="shared" si="38"/>
        <v>56.657499999999999</v>
      </c>
      <c r="Y775">
        <v>13</v>
      </c>
      <c r="Z775" s="2" t="s">
        <v>241</v>
      </c>
    </row>
    <row r="776" spans="1:26" x14ac:dyDescent="0.25">
      <c r="A776">
        <v>678</v>
      </c>
      <c r="B776">
        <v>875</v>
      </c>
      <c r="C776" t="s">
        <v>22</v>
      </c>
      <c r="D776" t="s">
        <v>239</v>
      </c>
      <c r="E776" t="s">
        <v>30</v>
      </c>
      <c r="F776" t="s">
        <v>722</v>
      </c>
      <c r="G776" t="str">
        <f>VLOOKUP(F776,Hospitals!E:H,4,FALSE)</f>
        <v>30.01247 , 76.8375</v>
      </c>
      <c r="H776" s="1">
        <v>45463</v>
      </c>
      <c r="I776" s="1">
        <v>45463</v>
      </c>
      <c r="J776">
        <v>93.631</v>
      </c>
      <c r="K776">
        <v>91.715999999999994</v>
      </c>
      <c r="L776">
        <v>88.635999999999996</v>
      </c>
      <c r="M776">
        <v>58.823999999999998</v>
      </c>
      <c r="N776">
        <v>60.87</v>
      </c>
      <c r="O776">
        <v>60.87</v>
      </c>
      <c r="P776">
        <v>58.823999999999998</v>
      </c>
      <c r="Q776">
        <v>60.87</v>
      </c>
      <c r="R776">
        <v>60.87</v>
      </c>
      <c r="S776">
        <v>0</v>
      </c>
      <c r="T776">
        <v>0</v>
      </c>
      <c r="U776">
        <v>0</v>
      </c>
      <c r="V776">
        <f t="shared" si="36"/>
        <v>52.819749999999999</v>
      </c>
      <c r="W776">
        <f t="shared" si="37"/>
        <v>53.363999999999997</v>
      </c>
      <c r="X776">
        <f t="shared" si="38"/>
        <v>52.594000000000001</v>
      </c>
      <c r="Y776">
        <v>13</v>
      </c>
      <c r="Z776" s="2" t="s">
        <v>241</v>
      </c>
    </row>
    <row r="777" spans="1:26" x14ac:dyDescent="0.25">
      <c r="A777">
        <v>691</v>
      </c>
      <c r="B777">
        <v>878</v>
      </c>
      <c r="C777" t="s">
        <v>22</v>
      </c>
      <c r="D777" t="s">
        <v>29</v>
      </c>
      <c r="E777" t="s">
        <v>30</v>
      </c>
      <c r="F777" t="s">
        <v>723</v>
      </c>
      <c r="G777" t="e">
        <f>VLOOKUP(F777,Hospitals!E:H,4,FALSE)</f>
        <v>#N/A</v>
      </c>
      <c r="H777" s="1">
        <v>45418</v>
      </c>
      <c r="I777" t="s">
        <v>35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f t="shared" si="36"/>
        <v>0</v>
      </c>
      <c r="W777">
        <f t="shared" si="37"/>
        <v>0</v>
      </c>
      <c r="X777">
        <f t="shared" si="38"/>
        <v>0</v>
      </c>
      <c r="Y777">
        <v>13</v>
      </c>
      <c r="Z777" s="2" t="s">
        <v>31</v>
      </c>
    </row>
    <row r="778" spans="1:26" x14ac:dyDescent="0.25">
      <c r="A778">
        <v>720</v>
      </c>
      <c r="B778">
        <v>879</v>
      </c>
      <c r="C778" t="s">
        <v>22</v>
      </c>
      <c r="D778" t="s">
        <v>239</v>
      </c>
      <c r="E778" t="s">
        <v>27</v>
      </c>
      <c r="F778" t="s">
        <v>724</v>
      </c>
      <c r="G778" t="str">
        <f>VLOOKUP(F778,Hospitals!E:H,4,FALSE)</f>
        <v>18.5289 , 73.8743</v>
      </c>
      <c r="H778" s="1">
        <v>45425</v>
      </c>
      <c r="I778" s="1">
        <v>45425</v>
      </c>
      <c r="J778">
        <v>40.764000000000003</v>
      </c>
      <c r="K778">
        <v>39.052999999999997</v>
      </c>
      <c r="L778">
        <v>37.5</v>
      </c>
      <c r="M778">
        <v>17.646999999999998</v>
      </c>
      <c r="N778">
        <v>13.042999999999999</v>
      </c>
      <c r="O778">
        <v>13.042999999999999</v>
      </c>
      <c r="P778">
        <v>17.646999999999998</v>
      </c>
      <c r="Q778">
        <v>13.042999999999999</v>
      </c>
      <c r="R778">
        <v>13.042999999999999</v>
      </c>
      <c r="S778">
        <v>0</v>
      </c>
      <c r="T778">
        <v>0</v>
      </c>
      <c r="U778">
        <v>0</v>
      </c>
      <c r="V778">
        <f t="shared" si="36"/>
        <v>19.014499999999998</v>
      </c>
      <c r="W778">
        <f t="shared" si="37"/>
        <v>16.284749999999999</v>
      </c>
      <c r="X778">
        <f t="shared" si="38"/>
        <v>15.8965</v>
      </c>
      <c r="Y778">
        <v>13</v>
      </c>
      <c r="Z778" s="2" t="s">
        <v>241</v>
      </c>
    </row>
    <row r="779" spans="1:26" x14ac:dyDescent="0.25">
      <c r="A779">
        <v>1325</v>
      </c>
      <c r="B779">
        <v>880</v>
      </c>
      <c r="C779" t="s">
        <v>22</v>
      </c>
      <c r="D779" t="s">
        <v>23</v>
      </c>
      <c r="E779" t="s">
        <v>30</v>
      </c>
      <c r="F779" t="s">
        <v>725</v>
      </c>
      <c r="G779" t="str">
        <f>VLOOKUP(F779,Hospitals!E:H,4,FALSE)</f>
        <v>12.99864 , 80.22445</v>
      </c>
      <c r="H779" s="1">
        <v>46031</v>
      </c>
      <c r="I779" s="1">
        <v>46031</v>
      </c>
      <c r="J779">
        <v>87.897999999999996</v>
      </c>
      <c r="K779">
        <v>85.799000000000007</v>
      </c>
      <c r="L779">
        <v>84.090999999999994</v>
      </c>
      <c r="M779">
        <v>5.8819999999999997</v>
      </c>
      <c r="N779">
        <v>13.042999999999999</v>
      </c>
      <c r="O779">
        <v>13.042999999999999</v>
      </c>
      <c r="P779">
        <v>5.8819999999999997</v>
      </c>
      <c r="Q779">
        <v>13.042999999999999</v>
      </c>
      <c r="R779">
        <v>13.042999999999999</v>
      </c>
      <c r="S779">
        <v>70</v>
      </c>
      <c r="T779">
        <v>66.667000000000002</v>
      </c>
      <c r="U779">
        <v>71.429000000000002</v>
      </c>
      <c r="V779">
        <f t="shared" si="36"/>
        <v>42.415500000000002</v>
      </c>
      <c r="W779">
        <f t="shared" si="37"/>
        <v>44.638000000000005</v>
      </c>
      <c r="X779">
        <f t="shared" si="38"/>
        <v>45.401499999999999</v>
      </c>
      <c r="Y779">
        <v>13</v>
      </c>
      <c r="Z779" s="2" t="s">
        <v>26</v>
      </c>
    </row>
    <row r="780" spans="1:26" x14ac:dyDescent="0.25">
      <c r="A780">
        <v>1338</v>
      </c>
      <c r="B780">
        <v>880</v>
      </c>
      <c r="C780" t="s">
        <v>22</v>
      </c>
      <c r="D780" t="s">
        <v>23</v>
      </c>
      <c r="E780" t="s">
        <v>30</v>
      </c>
      <c r="F780" t="s">
        <v>725</v>
      </c>
      <c r="G780" t="str">
        <f>VLOOKUP(F780,Hospitals!E:H,4,FALSE)</f>
        <v>12.99864 , 80.22445</v>
      </c>
      <c r="H780" s="1">
        <v>46042</v>
      </c>
      <c r="I780" s="1">
        <v>46045</v>
      </c>
      <c r="J780">
        <v>87.897999999999996</v>
      </c>
      <c r="K780">
        <v>85.799000000000007</v>
      </c>
      <c r="L780">
        <v>84.090999999999994</v>
      </c>
      <c r="M780">
        <v>5.8819999999999997</v>
      </c>
      <c r="N780">
        <v>13.042999999999999</v>
      </c>
      <c r="O780">
        <v>13.042999999999999</v>
      </c>
      <c r="P780">
        <v>5.8819999999999997</v>
      </c>
      <c r="Q780">
        <v>13.042999999999999</v>
      </c>
      <c r="R780">
        <v>13.042999999999999</v>
      </c>
      <c r="S780">
        <v>70</v>
      </c>
      <c r="T780">
        <v>66.667000000000002</v>
      </c>
      <c r="U780">
        <v>71.429000000000002</v>
      </c>
      <c r="V780">
        <f t="shared" si="36"/>
        <v>42.415500000000002</v>
      </c>
      <c r="W780">
        <f t="shared" si="37"/>
        <v>44.638000000000005</v>
      </c>
      <c r="X780">
        <f t="shared" si="38"/>
        <v>45.401499999999999</v>
      </c>
      <c r="Y780">
        <v>13</v>
      </c>
      <c r="Z780" s="2" t="s">
        <v>26</v>
      </c>
    </row>
    <row r="781" spans="1:26" x14ac:dyDescent="0.25">
      <c r="A781">
        <v>1197</v>
      </c>
      <c r="B781">
        <v>880</v>
      </c>
      <c r="C781" t="s">
        <v>22</v>
      </c>
      <c r="D781" t="s">
        <v>23</v>
      </c>
      <c r="E781" t="s">
        <v>30</v>
      </c>
      <c r="F781" t="s">
        <v>725</v>
      </c>
      <c r="G781" t="str">
        <f>VLOOKUP(F781,Hospitals!E:H,4,FALSE)</f>
        <v>12.99864 , 80.22445</v>
      </c>
      <c r="H781" s="1">
        <v>45909</v>
      </c>
      <c r="I781" s="1">
        <v>45909</v>
      </c>
      <c r="J781">
        <v>89.171999999999997</v>
      </c>
      <c r="K781">
        <v>86.981999999999999</v>
      </c>
      <c r="L781">
        <v>85.227000000000004</v>
      </c>
      <c r="M781">
        <v>29.411999999999999</v>
      </c>
      <c r="N781">
        <v>30.434999999999999</v>
      </c>
      <c r="O781">
        <v>30.434999999999999</v>
      </c>
      <c r="P781">
        <v>29.411999999999999</v>
      </c>
      <c r="Q781">
        <v>30.434999999999999</v>
      </c>
      <c r="R781">
        <v>30.434999999999999</v>
      </c>
      <c r="S781">
        <v>70</v>
      </c>
      <c r="T781">
        <v>66.667000000000002</v>
      </c>
      <c r="U781">
        <v>71.429000000000002</v>
      </c>
      <c r="V781">
        <f t="shared" si="36"/>
        <v>54.499000000000002</v>
      </c>
      <c r="W781">
        <f t="shared" si="37"/>
        <v>53.629750000000001</v>
      </c>
      <c r="X781">
        <f t="shared" si="38"/>
        <v>54.381500000000003</v>
      </c>
      <c r="Y781">
        <v>13</v>
      </c>
      <c r="Z781" s="2" t="s">
        <v>26</v>
      </c>
    </row>
    <row r="782" spans="1:26" x14ac:dyDescent="0.25">
      <c r="A782">
        <v>1191</v>
      </c>
      <c r="B782">
        <v>880</v>
      </c>
      <c r="C782" t="s">
        <v>22</v>
      </c>
      <c r="D782" t="s">
        <v>23</v>
      </c>
      <c r="E782" t="s">
        <v>30</v>
      </c>
      <c r="F782" t="s">
        <v>725</v>
      </c>
      <c r="G782" t="str">
        <f>VLOOKUP(F782,Hospitals!E:H,4,FALSE)</f>
        <v>12.99864 , 80.22445</v>
      </c>
      <c r="H782" s="1">
        <v>45888</v>
      </c>
      <c r="I782" s="1">
        <v>45890</v>
      </c>
      <c r="J782">
        <v>89.171999999999997</v>
      </c>
      <c r="K782">
        <v>86.981999999999999</v>
      </c>
      <c r="L782">
        <v>85.227000000000004</v>
      </c>
      <c r="M782">
        <v>29.411999999999999</v>
      </c>
      <c r="N782">
        <v>34.783000000000001</v>
      </c>
      <c r="O782">
        <v>34.783000000000001</v>
      </c>
      <c r="P782">
        <v>29.411999999999999</v>
      </c>
      <c r="Q782">
        <v>34.783000000000001</v>
      </c>
      <c r="R782">
        <v>34.783000000000001</v>
      </c>
      <c r="S782">
        <v>70</v>
      </c>
      <c r="T782">
        <v>66.667000000000002</v>
      </c>
      <c r="U782">
        <v>71.429000000000002</v>
      </c>
      <c r="V782">
        <f t="shared" si="36"/>
        <v>54.499000000000002</v>
      </c>
      <c r="W782">
        <f t="shared" si="37"/>
        <v>55.803750000000001</v>
      </c>
      <c r="X782">
        <f t="shared" si="38"/>
        <v>56.555500000000002</v>
      </c>
      <c r="Y782">
        <v>13</v>
      </c>
      <c r="Z782" s="2" t="s">
        <v>26</v>
      </c>
    </row>
    <row r="783" spans="1:26" x14ac:dyDescent="0.25">
      <c r="A783">
        <v>1198</v>
      </c>
      <c r="B783">
        <v>880</v>
      </c>
      <c r="C783" t="s">
        <v>22</v>
      </c>
      <c r="D783" t="s">
        <v>23</v>
      </c>
      <c r="E783" t="s">
        <v>30</v>
      </c>
      <c r="F783" t="s">
        <v>725</v>
      </c>
      <c r="G783" t="str">
        <f>VLOOKUP(F783,Hospitals!E:H,4,FALSE)</f>
        <v>12.99864 , 80.22445</v>
      </c>
      <c r="H783" s="1">
        <v>45961</v>
      </c>
      <c r="I783" s="1">
        <v>45961</v>
      </c>
      <c r="J783">
        <v>89.171999999999997</v>
      </c>
      <c r="K783">
        <v>86.981999999999999</v>
      </c>
      <c r="L783">
        <v>85.227000000000004</v>
      </c>
      <c r="M783">
        <v>29.411999999999999</v>
      </c>
      <c r="N783">
        <v>34.783000000000001</v>
      </c>
      <c r="O783">
        <v>34.783000000000001</v>
      </c>
      <c r="P783">
        <v>29.411999999999999</v>
      </c>
      <c r="Q783">
        <v>34.783000000000001</v>
      </c>
      <c r="R783">
        <v>34.783000000000001</v>
      </c>
      <c r="S783">
        <v>70</v>
      </c>
      <c r="T783">
        <v>66.667000000000002</v>
      </c>
      <c r="U783">
        <v>71.429000000000002</v>
      </c>
      <c r="V783">
        <f t="shared" si="36"/>
        <v>54.499000000000002</v>
      </c>
      <c r="W783">
        <f t="shared" si="37"/>
        <v>55.803750000000001</v>
      </c>
      <c r="X783">
        <f t="shared" si="38"/>
        <v>56.555500000000002</v>
      </c>
      <c r="Y783">
        <v>13</v>
      </c>
      <c r="Z783" s="2" t="s">
        <v>26</v>
      </c>
    </row>
    <row r="784" spans="1:26" x14ac:dyDescent="0.25">
      <c r="A784">
        <v>1179</v>
      </c>
      <c r="B784">
        <v>880</v>
      </c>
      <c r="C784" t="s">
        <v>22</v>
      </c>
      <c r="D784" t="s">
        <v>23</v>
      </c>
      <c r="E784" t="s">
        <v>30</v>
      </c>
      <c r="F784" t="s">
        <v>725</v>
      </c>
      <c r="G784" t="str">
        <f>VLOOKUP(F784,Hospitals!E:H,4,FALSE)</f>
        <v>12.99864 , 80.22445</v>
      </c>
      <c r="H784" s="1">
        <v>45784</v>
      </c>
      <c r="I784" s="1">
        <v>45784</v>
      </c>
      <c r="J784">
        <v>100</v>
      </c>
      <c r="K784">
        <v>100</v>
      </c>
      <c r="L784">
        <v>100</v>
      </c>
      <c r="M784">
        <v>100</v>
      </c>
      <c r="N784">
        <v>100</v>
      </c>
      <c r="O784">
        <v>100</v>
      </c>
      <c r="P784">
        <v>100</v>
      </c>
      <c r="Q784">
        <v>100</v>
      </c>
      <c r="R784">
        <v>100</v>
      </c>
      <c r="S784">
        <v>70</v>
      </c>
      <c r="T784">
        <v>66.667000000000002</v>
      </c>
      <c r="U784">
        <v>71.429000000000002</v>
      </c>
      <c r="V784">
        <f t="shared" si="36"/>
        <v>92.5</v>
      </c>
      <c r="W784">
        <f t="shared" si="37"/>
        <v>91.666750000000008</v>
      </c>
      <c r="X784">
        <f t="shared" si="38"/>
        <v>92.857249999999993</v>
      </c>
      <c r="Y784">
        <v>13</v>
      </c>
      <c r="Z784" s="2" t="s">
        <v>26</v>
      </c>
    </row>
    <row r="785" spans="1:26" x14ac:dyDescent="0.25">
      <c r="A785">
        <v>1367</v>
      </c>
      <c r="B785">
        <v>880</v>
      </c>
      <c r="C785" t="s">
        <v>22</v>
      </c>
      <c r="D785" t="s">
        <v>23</v>
      </c>
      <c r="E785" t="s">
        <v>30</v>
      </c>
      <c r="F785" t="s">
        <v>725</v>
      </c>
      <c r="G785" t="str">
        <f>VLOOKUP(F785,Hospitals!E:H,4,FALSE)</f>
        <v>12.99864 , 80.22445</v>
      </c>
      <c r="H785" s="1">
        <v>46050</v>
      </c>
      <c r="I785" s="1">
        <v>46050</v>
      </c>
      <c r="J785">
        <v>88.534999999999997</v>
      </c>
      <c r="K785">
        <v>86.391000000000005</v>
      </c>
      <c r="L785">
        <v>84.659000000000006</v>
      </c>
      <c r="M785">
        <v>5.8819999999999997</v>
      </c>
      <c r="N785">
        <v>8.6959999999999997</v>
      </c>
      <c r="O785">
        <v>8.6959999999999997</v>
      </c>
      <c r="P785">
        <v>5.8819999999999997</v>
      </c>
      <c r="Q785">
        <v>8.6959999999999997</v>
      </c>
      <c r="R785">
        <v>8.6959999999999997</v>
      </c>
      <c r="S785">
        <v>70</v>
      </c>
      <c r="T785">
        <v>66.667000000000002</v>
      </c>
      <c r="U785">
        <v>71.429000000000002</v>
      </c>
      <c r="V785">
        <f t="shared" si="36"/>
        <v>42.574750000000002</v>
      </c>
      <c r="W785">
        <f t="shared" si="37"/>
        <v>42.612499999999997</v>
      </c>
      <c r="X785">
        <f t="shared" si="38"/>
        <v>43.370000000000005</v>
      </c>
      <c r="Y785">
        <v>13</v>
      </c>
      <c r="Z785" s="2" t="s">
        <v>26</v>
      </c>
    </row>
    <row r="786" spans="1:26" x14ac:dyDescent="0.25">
      <c r="A786">
        <v>714</v>
      </c>
      <c r="B786">
        <v>880</v>
      </c>
      <c r="C786" t="s">
        <v>22</v>
      </c>
      <c r="D786" t="s">
        <v>23</v>
      </c>
      <c r="E786" t="s">
        <v>30</v>
      </c>
      <c r="F786" t="s">
        <v>725</v>
      </c>
      <c r="G786" t="str">
        <f>VLOOKUP(F786,Hospitals!E:H,4,FALSE)</f>
        <v>12.99864 , 80.22445</v>
      </c>
      <c r="H786" s="1">
        <v>45572</v>
      </c>
      <c r="I786" s="1">
        <v>45444</v>
      </c>
      <c r="J786">
        <v>54.777000000000001</v>
      </c>
      <c r="K786">
        <v>52.070999999999998</v>
      </c>
      <c r="L786">
        <v>50</v>
      </c>
      <c r="M786">
        <v>35.293999999999997</v>
      </c>
      <c r="N786">
        <v>47.826000000000001</v>
      </c>
      <c r="O786">
        <v>47.826000000000001</v>
      </c>
      <c r="P786">
        <v>35.293999999999997</v>
      </c>
      <c r="Q786">
        <v>47.826000000000001</v>
      </c>
      <c r="R786">
        <v>47.826000000000001</v>
      </c>
      <c r="S786">
        <v>40</v>
      </c>
      <c r="T786">
        <v>41.667000000000002</v>
      </c>
      <c r="U786">
        <v>28.571000000000002</v>
      </c>
      <c r="V786">
        <f t="shared" si="36"/>
        <v>41.341250000000002</v>
      </c>
      <c r="W786">
        <f t="shared" si="37"/>
        <v>47.347499999999997</v>
      </c>
      <c r="X786">
        <f t="shared" si="38"/>
        <v>43.555749999999996</v>
      </c>
      <c r="Y786">
        <v>13</v>
      </c>
      <c r="Z786" s="2" t="s">
        <v>26</v>
      </c>
    </row>
    <row r="787" spans="1:26" x14ac:dyDescent="0.25">
      <c r="A787">
        <v>1189</v>
      </c>
      <c r="B787">
        <v>880</v>
      </c>
      <c r="C787" t="s">
        <v>22</v>
      </c>
      <c r="D787" t="s">
        <v>23</v>
      </c>
      <c r="E787" t="s">
        <v>30</v>
      </c>
      <c r="F787" t="s">
        <v>725</v>
      </c>
      <c r="G787" t="str">
        <f>VLOOKUP(F787,Hospitals!E:H,4,FALSE)</f>
        <v>12.99864 , 80.22445</v>
      </c>
      <c r="H787" s="1">
        <v>45887</v>
      </c>
      <c r="I787" s="1">
        <v>45888</v>
      </c>
      <c r="J787">
        <v>89.171999999999997</v>
      </c>
      <c r="K787">
        <v>86.981999999999999</v>
      </c>
      <c r="L787">
        <v>85.227000000000004</v>
      </c>
      <c r="M787">
        <v>29.411999999999999</v>
      </c>
      <c r="N787">
        <v>34.783000000000001</v>
      </c>
      <c r="O787">
        <v>34.783000000000001</v>
      </c>
      <c r="P787">
        <v>29.411999999999999</v>
      </c>
      <c r="Q787">
        <v>34.783000000000001</v>
      </c>
      <c r="R787">
        <v>34.783000000000001</v>
      </c>
      <c r="S787">
        <v>70</v>
      </c>
      <c r="T787">
        <v>66.667000000000002</v>
      </c>
      <c r="U787">
        <v>71.429000000000002</v>
      </c>
      <c r="V787">
        <f t="shared" si="36"/>
        <v>54.499000000000002</v>
      </c>
      <c r="W787">
        <f t="shared" si="37"/>
        <v>55.803750000000001</v>
      </c>
      <c r="X787">
        <f t="shared" si="38"/>
        <v>56.555500000000002</v>
      </c>
      <c r="Y787">
        <v>13</v>
      </c>
      <c r="Z787" s="2" t="s">
        <v>26</v>
      </c>
    </row>
    <row r="788" spans="1:26" x14ac:dyDescent="0.25">
      <c r="A788">
        <v>1366</v>
      </c>
      <c r="B788">
        <v>880</v>
      </c>
      <c r="C788" t="s">
        <v>22</v>
      </c>
      <c r="D788" t="s">
        <v>23</v>
      </c>
      <c r="E788" t="s">
        <v>30</v>
      </c>
      <c r="F788" t="s">
        <v>725</v>
      </c>
      <c r="G788" t="str">
        <f>VLOOKUP(F788,Hospitals!E:H,4,FALSE)</f>
        <v>12.99864 , 80.22445</v>
      </c>
      <c r="H788" s="1">
        <v>46049</v>
      </c>
      <c r="I788" s="1">
        <v>46050</v>
      </c>
      <c r="J788">
        <v>87.897999999999996</v>
      </c>
      <c r="K788">
        <v>85.799000000000007</v>
      </c>
      <c r="L788">
        <v>84.090999999999994</v>
      </c>
      <c r="M788">
        <v>5.8819999999999997</v>
      </c>
      <c r="N788">
        <v>8.6959999999999997</v>
      </c>
      <c r="O788">
        <v>8.6959999999999997</v>
      </c>
      <c r="P788">
        <v>5.8819999999999997</v>
      </c>
      <c r="Q788">
        <v>8.6959999999999997</v>
      </c>
      <c r="R788">
        <v>8.6959999999999997</v>
      </c>
      <c r="S788">
        <v>70</v>
      </c>
      <c r="T788">
        <v>66.667000000000002</v>
      </c>
      <c r="U788">
        <v>71.429000000000002</v>
      </c>
      <c r="V788">
        <f t="shared" si="36"/>
        <v>42.415500000000002</v>
      </c>
      <c r="W788">
        <f t="shared" si="37"/>
        <v>42.464500000000001</v>
      </c>
      <c r="X788">
        <f t="shared" si="38"/>
        <v>43.227999999999994</v>
      </c>
      <c r="Y788">
        <v>13</v>
      </c>
      <c r="Z788" s="2" t="s">
        <v>26</v>
      </c>
    </row>
    <row r="789" spans="1:26" x14ac:dyDescent="0.25">
      <c r="A789">
        <v>1272</v>
      </c>
      <c r="B789">
        <v>880</v>
      </c>
      <c r="C789" t="s">
        <v>22</v>
      </c>
      <c r="D789" t="s">
        <v>23</v>
      </c>
      <c r="E789" t="s">
        <v>30</v>
      </c>
      <c r="F789" t="s">
        <v>725</v>
      </c>
      <c r="G789" t="str">
        <f>VLOOKUP(F789,Hospitals!E:H,4,FALSE)</f>
        <v>12.99864 , 80.22445</v>
      </c>
      <c r="H789" s="1">
        <v>45961</v>
      </c>
      <c r="I789" s="1">
        <v>45965</v>
      </c>
      <c r="J789">
        <v>89.171999999999997</v>
      </c>
      <c r="K789">
        <v>86.981999999999999</v>
      </c>
      <c r="L789">
        <v>85.227000000000004</v>
      </c>
      <c r="M789">
        <v>29.411999999999999</v>
      </c>
      <c r="N789">
        <v>43.478000000000002</v>
      </c>
      <c r="O789">
        <v>43.478000000000002</v>
      </c>
      <c r="P789">
        <v>29.411999999999999</v>
      </c>
      <c r="Q789">
        <v>43.478000000000002</v>
      </c>
      <c r="R789">
        <v>43.478000000000002</v>
      </c>
      <c r="S789">
        <v>70</v>
      </c>
      <c r="T789">
        <v>66.667000000000002</v>
      </c>
      <c r="U789">
        <v>71.429000000000002</v>
      </c>
      <c r="V789">
        <f t="shared" si="36"/>
        <v>54.499000000000002</v>
      </c>
      <c r="W789">
        <f t="shared" si="37"/>
        <v>60.151250000000005</v>
      </c>
      <c r="X789">
        <f t="shared" si="38"/>
        <v>60.903000000000006</v>
      </c>
      <c r="Y789">
        <v>13</v>
      </c>
      <c r="Z789" s="2" t="s">
        <v>26</v>
      </c>
    </row>
    <row r="790" spans="1:26" x14ac:dyDescent="0.25">
      <c r="A790">
        <v>1182</v>
      </c>
      <c r="B790">
        <v>880</v>
      </c>
      <c r="C790" t="s">
        <v>22</v>
      </c>
      <c r="D790" t="s">
        <v>23</v>
      </c>
      <c r="E790" t="s">
        <v>30</v>
      </c>
      <c r="F790" t="s">
        <v>725</v>
      </c>
      <c r="G790" t="str">
        <f>VLOOKUP(F790,Hospitals!E:H,4,FALSE)</f>
        <v>12.99864 , 80.22445</v>
      </c>
      <c r="H790" s="1">
        <v>45876</v>
      </c>
      <c r="I790" s="1">
        <v>45876</v>
      </c>
      <c r="J790">
        <v>96.177999999999997</v>
      </c>
      <c r="K790">
        <v>96.45</v>
      </c>
      <c r="L790">
        <v>96.590999999999994</v>
      </c>
      <c r="M790">
        <v>100</v>
      </c>
      <c r="N790">
        <v>100</v>
      </c>
      <c r="O790">
        <v>100</v>
      </c>
      <c r="P790">
        <v>100</v>
      </c>
      <c r="Q790">
        <v>100</v>
      </c>
      <c r="R790">
        <v>100</v>
      </c>
      <c r="S790">
        <v>70</v>
      </c>
      <c r="T790">
        <v>66.667000000000002</v>
      </c>
      <c r="U790">
        <v>71.429000000000002</v>
      </c>
      <c r="V790">
        <f t="shared" si="36"/>
        <v>91.544499999999999</v>
      </c>
      <c r="W790">
        <f t="shared" si="37"/>
        <v>90.77924999999999</v>
      </c>
      <c r="X790">
        <f t="shared" si="38"/>
        <v>92.004999999999995</v>
      </c>
      <c r="Y790">
        <v>13</v>
      </c>
      <c r="Z790" s="2" t="s">
        <v>26</v>
      </c>
    </row>
    <row r="791" spans="1:26" x14ac:dyDescent="0.25">
      <c r="A791">
        <v>1188</v>
      </c>
      <c r="B791">
        <v>880</v>
      </c>
      <c r="C791" t="s">
        <v>22</v>
      </c>
      <c r="D791" t="s">
        <v>23</v>
      </c>
      <c r="E791" t="s">
        <v>30</v>
      </c>
      <c r="F791" t="s">
        <v>725</v>
      </c>
      <c r="G791" t="str">
        <f>VLOOKUP(F791,Hospitals!E:H,4,FALSE)</f>
        <v>12.99864 , 80.22445</v>
      </c>
      <c r="H791" s="1">
        <v>45880</v>
      </c>
      <c r="I791" s="1">
        <v>45882</v>
      </c>
      <c r="J791">
        <v>89.171999999999997</v>
      </c>
      <c r="K791">
        <v>86.981999999999999</v>
      </c>
      <c r="L791">
        <v>85.227000000000004</v>
      </c>
      <c r="M791">
        <v>29.411999999999999</v>
      </c>
      <c r="N791">
        <v>34.783000000000001</v>
      </c>
      <c r="O791">
        <v>34.783000000000001</v>
      </c>
      <c r="P791">
        <v>29.411999999999999</v>
      </c>
      <c r="Q791">
        <v>34.783000000000001</v>
      </c>
      <c r="R791">
        <v>34.783000000000001</v>
      </c>
      <c r="S791">
        <v>70</v>
      </c>
      <c r="T791">
        <v>66.667000000000002</v>
      </c>
      <c r="U791">
        <v>71.429000000000002</v>
      </c>
      <c r="V791">
        <f t="shared" si="36"/>
        <v>54.499000000000002</v>
      </c>
      <c r="W791">
        <f t="shared" si="37"/>
        <v>55.803750000000001</v>
      </c>
      <c r="X791">
        <f t="shared" si="38"/>
        <v>56.555500000000002</v>
      </c>
      <c r="Y791">
        <v>13</v>
      </c>
      <c r="Z791" s="2" t="s">
        <v>26</v>
      </c>
    </row>
    <row r="792" spans="1:26" x14ac:dyDescent="0.25">
      <c r="A792">
        <v>1181</v>
      </c>
      <c r="B792">
        <v>880</v>
      </c>
      <c r="C792" t="s">
        <v>22</v>
      </c>
      <c r="D792" t="s">
        <v>23</v>
      </c>
      <c r="E792" t="s">
        <v>30</v>
      </c>
      <c r="F792" t="s">
        <v>725</v>
      </c>
      <c r="G792" t="str">
        <f>VLOOKUP(F792,Hospitals!E:H,4,FALSE)</f>
        <v>12.99864 , 80.22445</v>
      </c>
      <c r="H792" s="1">
        <v>45784</v>
      </c>
      <c r="I792" s="1">
        <v>45785</v>
      </c>
      <c r="J792">
        <v>100</v>
      </c>
      <c r="K792">
        <v>100</v>
      </c>
      <c r="L792">
        <v>100</v>
      </c>
      <c r="M792">
        <v>100</v>
      </c>
      <c r="N792">
        <v>100</v>
      </c>
      <c r="O792">
        <v>100</v>
      </c>
      <c r="P792">
        <v>100</v>
      </c>
      <c r="Q792">
        <v>100</v>
      </c>
      <c r="R792">
        <v>100</v>
      </c>
      <c r="S792">
        <v>70</v>
      </c>
      <c r="T792">
        <v>66.667000000000002</v>
      </c>
      <c r="U792">
        <v>71.429000000000002</v>
      </c>
      <c r="V792">
        <f t="shared" si="36"/>
        <v>92.5</v>
      </c>
      <c r="W792">
        <f t="shared" si="37"/>
        <v>91.666750000000008</v>
      </c>
      <c r="X792">
        <f t="shared" si="38"/>
        <v>92.857249999999993</v>
      </c>
      <c r="Y792">
        <v>13</v>
      </c>
      <c r="Z792" s="2" t="s">
        <v>26</v>
      </c>
    </row>
    <row r="793" spans="1:26" x14ac:dyDescent="0.25">
      <c r="A793">
        <v>1279</v>
      </c>
      <c r="B793">
        <v>880</v>
      </c>
      <c r="C793" t="s">
        <v>22</v>
      </c>
      <c r="D793" t="s">
        <v>23</v>
      </c>
      <c r="E793" t="s">
        <v>30</v>
      </c>
      <c r="F793" t="s">
        <v>725</v>
      </c>
      <c r="G793" t="str">
        <f>VLOOKUP(F793,Hospitals!E:H,4,FALSE)</f>
        <v>12.99864 , 80.22445</v>
      </c>
      <c r="H793" s="1">
        <v>45975</v>
      </c>
      <c r="I793" s="1">
        <v>45975</v>
      </c>
      <c r="J793">
        <v>89.171999999999997</v>
      </c>
      <c r="K793">
        <v>86.981999999999999</v>
      </c>
      <c r="L793">
        <v>85.227000000000004</v>
      </c>
      <c r="M793">
        <v>41.176000000000002</v>
      </c>
      <c r="N793">
        <v>52.173999999999999</v>
      </c>
      <c r="O793">
        <v>52.173999999999999</v>
      </c>
      <c r="P793">
        <v>41.176000000000002</v>
      </c>
      <c r="Q793">
        <v>52.173999999999999</v>
      </c>
      <c r="R793">
        <v>52.173999999999999</v>
      </c>
      <c r="S793">
        <v>70</v>
      </c>
      <c r="T793">
        <v>66.667000000000002</v>
      </c>
      <c r="U793">
        <v>71.429000000000002</v>
      </c>
      <c r="V793">
        <f t="shared" si="36"/>
        <v>60.381</v>
      </c>
      <c r="W793">
        <f t="shared" si="37"/>
        <v>64.499250000000004</v>
      </c>
      <c r="X793">
        <f t="shared" si="38"/>
        <v>65.251000000000005</v>
      </c>
      <c r="Y793">
        <v>13</v>
      </c>
      <c r="Z793" s="2" t="s">
        <v>26</v>
      </c>
    </row>
    <row r="794" spans="1:26" x14ac:dyDescent="0.25">
      <c r="A794">
        <v>1322</v>
      </c>
      <c r="B794">
        <v>880</v>
      </c>
      <c r="C794" t="s">
        <v>22</v>
      </c>
      <c r="D794" t="s">
        <v>23</v>
      </c>
      <c r="E794" t="s">
        <v>30</v>
      </c>
      <c r="F794" t="s">
        <v>725</v>
      </c>
      <c r="G794" t="str">
        <f>VLOOKUP(F794,Hospitals!E:H,4,FALSE)</f>
        <v>12.99864 , 80.22445</v>
      </c>
      <c r="H794" s="1">
        <v>46031</v>
      </c>
      <c r="I794" s="1">
        <v>46031</v>
      </c>
      <c r="J794">
        <v>87.897999999999996</v>
      </c>
      <c r="K794">
        <v>85.799000000000007</v>
      </c>
      <c r="L794">
        <v>84.090999999999994</v>
      </c>
      <c r="M794">
        <v>5.8819999999999997</v>
      </c>
      <c r="N794">
        <v>8.6959999999999997</v>
      </c>
      <c r="O794">
        <v>8.6959999999999997</v>
      </c>
      <c r="P794">
        <v>5.8819999999999997</v>
      </c>
      <c r="Q794">
        <v>8.6959999999999997</v>
      </c>
      <c r="R794">
        <v>8.6959999999999997</v>
      </c>
      <c r="S794">
        <v>70</v>
      </c>
      <c r="T794">
        <v>66.667000000000002</v>
      </c>
      <c r="U794">
        <v>71.429000000000002</v>
      </c>
      <c r="V794">
        <f t="shared" si="36"/>
        <v>42.415500000000002</v>
      </c>
      <c r="W794">
        <f t="shared" si="37"/>
        <v>42.464500000000001</v>
      </c>
      <c r="X794">
        <f t="shared" si="38"/>
        <v>43.227999999999994</v>
      </c>
      <c r="Y794">
        <v>13</v>
      </c>
      <c r="Z794" s="2" t="s">
        <v>26</v>
      </c>
    </row>
    <row r="795" spans="1:26" x14ac:dyDescent="0.25">
      <c r="A795">
        <v>768</v>
      </c>
      <c r="B795">
        <v>880</v>
      </c>
      <c r="C795" t="s">
        <v>22</v>
      </c>
      <c r="D795" t="s">
        <v>23</v>
      </c>
      <c r="E795" t="s">
        <v>30</v>
      </c>
      <c r="F795" t="s">
        <v>725</v>
      </c>
      <c r="G795" t="str">
        <f>VLOOKUP(F795,Hospitals!E:H,4,FALSE)</f>
        <v>12.99864 , 80.22445</v>
      </c>
      <c r="H795" s="1">
        <v>45449</v>
      </c>
      <c r="I795" s="1">
        <v>45784</v>
      </c>
      <c r="J795">
        <v>52.228999999999999</v>
      </c>
      <c r="K795">
        <v>51.478999999999999</v>
      </c>
      <c r="L795">
        <v>50.567999999999998</v>
      </c>
      <c r="M795">
        <v>47.058999999999997</v>
      </c>
      <c r="N795">
        <v>52.173999999999999</v>
      </c>
      <c r="O795">
        <v>52.173999999999999</v>
      </c>
      <c r="P795">
        <v>47.058999999999997</v>
      </c>
      <c r="Q795">
        <v>52.173999999999999</v>
      </c>
      <c r="R795">
        <v>52.173999999999999</v>
      </c>
      <c r="S795">
        <v>70</v>
      </c>
      <c r="T795">
        <v>66.667000000000002</v>
      </c>
      <c r="U795">
        <v>71.429000000000002</v>
      </c>
      <c r="V795">
        <f t="shared" si="36"/>
        <v>54.086749999999995</v>
      </c>
      <c r="W795">
        <f t="shared" si="37"/>
        <v>55.6235</v>
      </c>
      <c r="X795">
        <f t="shared" si="38"/>
        <v>56.58625</v>
      </c>
      <c r="Y795">
        <v>13</v>
      </c>
      <c r="Z795" s="2" t="s">
        <v>26</v>
      </c>
    </row>
    <row r="796" spans="1:26" x14ac:dyDescent="0.25">
      <c r="A796">
        <v>1369</v>
      </c>
      <c r="B796">
        <v>880</v>
      </c>
      <c r="C796" t="s">
        <v>22</v>
      </c>
      <c r="D796" t="s">
        <v>23</v>
      </c>
      <c r="E796" t="s">
        <v>30</v>
      </c>
      <c r="F796" t="s">
        <v>725</v>
      </c>
      <c r="G796" t="str">
        <f>VLOOKUP(F796,Hospitals!E:H,4,FALSE)</f>
        <v>12.99864 , 80.22445</v>
      </c>
      <c r="H796" s="1">
        <v>46050</v>
      </c>
      <c r="I796" s="1">
        <v>46050</v>
      </c>
      <c r="J796">
        <v>88.534999999999997</v>
      </c>
      <c r="K796">
        <v>86.391000000000005</v>
      </c>
      <c r="L796">
        <v>84.659000000000006</v>
      </c>
      <c r="M796">
        <v>5.8819999999999997</v>
      </c>
      <c r="N796">
        <v>8.6959999999999997</v>
      </c>
      <c r="O796">
        <v>8.6959999999999997</v>
      </c>
      <c r="P796">
        <v>5.8819999999999997</v>
      </c>
      <c r="Q796">
        <v>8.6959999999999997</v>
      </c>
      <c r="R796">
        <v>8.6959999999999997</v>
      </c>
      <c r="S796">
        <v>70</v>
      </c>
      <c r="T796">
        <v>66.667000000000002</v>
      </c>
      <c r="U796">
        <v>71.429000000000002</v>
      </c>
      <c r="V796">
        <f t="shared" si="36"/>
        <v>42.574750000000002</v>
      </c>
      <c r="W796">
        <f t="shared" si="37"/>
        <v>42.612499999999997</v>
      </c>
      <c r="X796">
        <f t="shared" si="38"/>
        <v>43.370000000000005</v>
      </c>
      <c r="Y796">
        <v>13</v>
      </c>
      <c r="Z796" s="2" t="s">
        <v>26</v>
      </c>
    </row>
    <row r="797" spans="1:26" x14ac:dyDescent="0.25">
      <c r="A797">
        <v>1395</v>
      </c>
      <c r="B797">
        <v>880</v>
      </c>
      <c r="C797" t="s">
        <v>22</v>
      </c>
      <c r="D797" t="s">
        <v>23</v>
      </c>
      <c r="E797" t="s">
        <v>30</v>
      </c>
      <c r="F797" t="s">
        <v>725</v>
      </c>
      <c r="G797" t="str">
        <f>VLOOKUP(F797,Hospitals!E:H,4,FALSE)</f>
        <v>12.99864 , 80.22445</v>
      </c>
      <c r="H797" s="1">
        <v>46087</v>
      </c>
      <c r="I797" s="1">
        <v>46087</v>
      </c>
      <c r="J797">
        <v>88.534999999999997</v>
      </c>
      <c r="K797">
        <v>86.391000000000005</v>
      </c>
      <c r="L797">
        <v>84.659000000000006</v>
      </c>
      <c r="M797">
        <v>5.8819999999999997</v>
      </c>
      <c r="N797">
        <v>8.6959999999999997</v>
      </c>
      <c r="O797">
        <v>8.6959999999999997</v>
      </c>
      <c r="P797">
        <v>5.8819999999999997</v>
      </c>
      <c r="Q797">
        <v>8.6959999999999997</v>
      </c>
      <c r="R797">
        <v>8.6959999999999997</v>
      </c>
      <c r="S797">
        <v>70</v>
      </c>
      <c r="T797">
        <v>66.667000000000002</v>
      </c>
      <c r="U797">
        <v>71.429000000000002</v>
      </c>
      <c r="V797">
        <f t="shared" si="36"/>
        <v>42.574750000000002</v>
      </c>
      <c r="W797">
        <f t="shared" si="37"/>
        <v>42.612499999999997</v>
      </c>
      <c r="X797">
        <f t="shared" si="38"/>
        <v>43.370000000000005</v>
      </c>
      <c r="Y797">
        <v>13</v>
      </c>
      <c r="Z797" s="2" t="s">
        <v>26</v>
      </c>
    </row>
    <row r="798" spans="1:26" x14ac:dyDescent="0.25">
      <c r="A798">
        <v>1190</v>
      </c>
      <c r="B798">
        <v>880</v>
      </c>
      <c r="C798" t="s">
        <v>22</v>
      </c>
      <c r="D798" t="s">
        <v>23</v>
      </c>
      <c r="E798" t="s">
        <v>30</v>
      </c>
      <c r="F798" t="s">
        <v>725</v>
      </c>
      <c r="G798" t="str">
        <f>VLOOKUP(F798,Hospitals!E:H,4,FALSE)</f>
        <v>12.99864 , 80.22445</v>
      </c>
      <c r="H798" s="1">
        <v>45888</v>
      </c>
      <c r="I798" s="1">
        <v>45888</v>
      </c>
      <c r="J798">
        <v>89.171999999999997</v>
      </c>
      <c r="K798">
        <v>86.981999999999999</v>
      </c>
      <c r="L798">
        <v>85.227000000000004</v>
      </c>
      <c r="M798">
        <v>29.411999999999999</v>
      </c>
      <c r="N798">
        <v>34.783000000000001</v>
      </c>
      <c r="O798">
        <v>34.783000000000001</v>
      </c>
      <c r="P798">
        <v>29.411999999999999</v>
      </c>
      <c r="Q798">
        <v>34.783000000000001</v>
      </c>
      <c r="R798">
        <v>34.783000000000001</v>
      </c>
      <c r="S798">
        <v>70</v>
      </c>
      <c r="T798">
        <v>66.667000000000002</v>
      </c>
      <c r="U798">
        <v>71.429000000000002</v>
      </c>
      <c r="V798">
        <f t="shared" si="36"/>
        <v>54.499000000000002</v>
      </c>
      <c r="W798">
        <f t="shared" si="37"/>
        <v>55.803750000000001</v>
      </c>
      <c r="X798">
        <f t="shared" si="38"/>
        <v>56.555500000000002</v>
      </c>
      <c r="Y798">
        <v>13</v>
      </c>
      <c r="Z798" s="2" t="s">
        <v>26</v>
      </c>
    </row>
    <row r="799" spans="1:26" x14ac:dyDescent="0.25">
      <c r="A799">
        <v>1376</v>
      </c>
      <c r="B799">
        <v>880</v>
      </c>
      <c r="C799" t="s">
        <v>22</v>
      </c>
      <c r="D799" t="s">
        <v>23</v>
      </c>
      <c r="E799" t="s">
        <v>30</v>
      </c>
      <c r="F799" t="s">
        <v>725</v>
      </c>
      <c r="G799" t="str">
        <f>VLOOKUP(F799,Hospitals!E:H,4,FALSE)</f>
        <v>12.99864 , 80.22445</v>
      </c>
      <c r="H799" s="1">
        <v>46087</v>
      </c>
      <c r="I799" s="1">
        <v>46087</v>
      </c>
      <c r="J799">
        <v>88.534999999999997</v>
      </c>
      <c r="K799">
        <v>86.391000000000005</v>
      </c>
      <c r="L799">
        <v>84.659000000000006</v>
      </c>
      <c r="M799">
        <v>5.8819999999999997</v>
      </c>
      <c r="N799">
        <v>8.6959999999999997</v>
      </c>
      <c r="O799">
        <v>8.6959999999999997</v>
      </c>
      <c r="P799">
        <v>5.8819999999999997</v>
      </c>
      <c r="Q799">
        <v>8.6959999999999997</v>
      </c>
      <c r="R799">
        <v>8.6959999999999997</v>
      </c>
      <c r="S799">
        <v>70</v>
      </c>
      <c r="T799">
        <v>66.667000000000002</v>
      </c>
      <c r="U799">
        <v>71.429000000000002</v>
      </c>
      <c r="V799">
        <f t="shared" si="36"/>
        <v>42.574750000000002</v>
      </c>
      <c r="W799">
        <f t="shared" si="37"/>
        <v>42.612499999999997</v>
      </c>
      <c r="X799">
        <f t="shared" si="38"/>
        <v>43.370000000000005</v>
      </c>
      <c r="Y799">
        <v>13</v>
      </c>
      <c r="Z799" s="2" t="s">
        <v>26</v>
      </c>
    </row>
    <row r="800" spans="1:26" x14ac:dyDescent="0.25">
      <c r="A800">
        <v>1180</v>
      </c>
      <c r="B800">
        <v>880</v>
      </c>
      <c r="C800" t="s">
        <v>22</v>
      </c>
      <c r="D800" t="s">
        <v>23</v>
      </c>
      <c r="E800" t="s">
        <v>30</v>
      </c>
      <c r="F800" t="s">
        <v>725</v>
      </c>
      <c r="G800" t="str">
        <f>VLOOKUP(F800,Hospitals!E:H,4,FALSE)</f>
        <v>12.99864 , 80.22445</v>
      </c>
      <c r="H800" s="1">
        <v>45784</v>
      </c>
      <c r="I800" s="1">
        <v>45784</v>
      </c>
      <c r="J800">
        <v>100</v>
      </c>
      <c r="K800">
        <v>100</v>
      </c>
      <c r="L800">
        <v>100</v>
      </c>
      <c r="M800">
        <v>100</v>
      </c>
      <c r="N800">
        <v>100</v>
      </c>
      <c r="O800">
        <v>100</v>
      </c>
      <c r="P800">
        <v>100</v>
      </c>
      <c r="Q800">
        <v>100</v>
      </c>
      <c r="R800">
        <v>100</v>
      </c>
      <c r="S800">
        <v>70</v>
      </c>
      <c r="T800">
        <v>66.667000000000002</v>
      </c>
      <c r="U800">
        <v>71.429000000000002</v>
      </c>
      <c r="V800">
        <f t="shared" si="36"/>
        <v>92.5</v>
      </c>
      <c r="W800">
        <f t="shared" si="37"/>
        <v>91.666750000000008</v>
      </c>
      <c r="X800">
        <f t="shared" si="38"/>
        <v>92.857249999999993</v>
      </c>
      <c r="Y800">
        <v>13</v>
      </c>
      <c r="Z800" s="2" t="s">
        <v>26</v>
      </c>
    </row>
    <row r="801" spans="1:26" x14ac:dyDescent="0.25">
      <c r="A801">
        <v>1368</v>
      </c>
      <c r="B801">
        <v>880</v>
      </c>
      <c r="C801" t="s">
        <v>22</v>
      </c>
      <c r="D801" t="s">
        <v>23</v>
      </c>
      <c r="E801" t="s">
        <v>30</v>
      </c>
      <c r="F801" t="s">
        <v>725</v>
      </c>
      <c r="G801" t="str">
        <f>VLOOKUP(F801,Hospitals!E:H,4,FALSE)</f>
        <v>12.99864 , 80.22445</v>
      </c>
      <c r="H801" s="1">
        <v>46050</v>
      </c>
      <c r="I801" s="1">
        <v>46050</v>
      </c>
      <c r="J801">
        <v>88.534999999999997</v>
      </c>
      <c r="K801">
        <v>86.391000000000005</v>
      </c>
      <c r="L801">
        <v>84.659000000000006</v>
      </c>
      <c r="M801">
        <v>5.8819999999999997</v>
      </c>
      <c r="N801">
        <v>4.3479999999999999</v>
      </c>
      <c r="O801">
        <v>4.3479999999999999</v>
      </c>
      <c r="P801">
        <v>5.8819999999999997</v>
      </c>
      <c r="Q801">
        <v>4.3479999999999999</v>
      </c>
      <c r="R801">
        <v>4.3479999999999999</v>
      </c>
      <c r="S801">
        <v>70</v>
      </c>
      <c r="T801">
        <v>66.667000000000002</v>
      </c>
      <c r="U801">
        <v>71.429000000000002</v>
      </c>
      <c r="V801">
        <f t="shared" si="36"/>
        <v>42.574750000000002</v>
      </c>
      <c r="W801">
        <f t="shared" si="37"/>
        <v>40.438500000000005</v>
      </c>
      <c r="X801">
        <f t="shared" si="38"/>
        <v>41.195999999999998</v>
      </c>
      <c r="Y801">
        <v>13</v>
      </c>
      <c r="Z801" s="2" t="s">
        <v>26</v>
      </c>
    </row>
    <row r="802" spans="1:26" x14ac:dyDescent="0.25">
      <c r="A802">
        <v>1375</v>
      </c>
      <c r="B802">
        <v>880</v>
      </c>
      <c r="C802" t="s">
        <v>22</v>
      </c>
      <c r="D802" t="s">
        <v>23</v>
      </c>
      <c r="E802" t="s">
        <v>30</v>
      </c>
      <c r="F802" t="s">
        <v>725</v>
      </c>
      <c r="G802" t="str">
        <f>VLOOKUP(F802,Hospitals!E:H,4,FALSE)</f>
        <v>12.99864 , 80.22445</v>
      </c>
      <c r="H802" s="1">
        <v>46051</v>
      </c>
      <c r="I802" s="1">
        <v>46051</v>
      </c>
      <c r="J802">
        <v>88.534999999999997</v>
      </c>
      <c r="K802">
        <v>86.391000000000005</v>
      </c>
      <c r="L802">
        <v>84.659000000000006</v>
      </c>
      <c r="M802">
        <v>5.8819999999999997</v>
      </c>
      <c r="N802">
        <v>8.6959999999999997</v>
      </c>
      <c r="O802">
        <v>8.6959999999999997</v>
      </c>
      <c r="P802">
        <v>5.8819999999999997</v>
      </c>
      <c r="Q802">
        <v>8.6959999999999997</v>
      </c>
      <c r="R802">
        <v>8.6959999999999997</v>
      </c>
      <c r="S802">
        <v>70</v>
      </c>
      <c r="T802">
        <v>66.667000000000002</v>
      </c>
      <c r="U802">
        <v>71.429000000000002</v>
      </c>
      <c r="V802">
        <f t="shared" si="36"/>
        <v>42.574750000000002</v>
      </c>
      <c r="W802">
        <f t="shared" si="37"/>
        <v>42.612499999999997</v>
      </c>
      <c r="X802">
        <f t="shared" si="38"/>
        <v>43.370000000000005</v>
      </c>
      <c r="Y802">
        <v>13</v>
      </c>
      <c r="Z802" s="2" t="s">
        <v>26</v>
      </c>
    </row>
    <row r="803" spans="1:26" x14ac:dyDescent="0.25">
      <c r="A803">
        <v>785</v>
      </c>
      <c r="B803">
        <v>880</v>
      </c>
      <c r="C803" t="s">
        <v>22</v>
      </c>
      <c r="D803" t="s">
        <v>23</v>
      </c>
      <c r="E803" t="s">
        <v>30</v>
      </c>
      <c r="F803" t="s">
        <v>725</v>
      </c>
      <c r="G803" t="str">
        <f>VLOOKUP(F803,Hospitals!E:H,4,FALSE)</f>
        <v>12.99864 , 80.22445</v>
      </c>
      <c r="H803" s="1">
        <v>45455</v>
      </c>
      <c r="I803" s="1">
        <v>45455</v>
      </c>
      <c r="J803">
        <v>52.228999999999999</v>
      </c>
      <c r="K803">
        <v>51.478999999999999</v>
      </c>
      <c r="L803">
        <v>50.567999999999998</v>
      </c>
      <c r="M803">
        <v>100</v>
      </c>
      <c r="N803">
        <v>100</v>
      </c>
      <c r="O803">
        <v>100</v>
      </c>
      <c r="P803">
        <v>100</v>
      </c>
      <c r="Q803">
        <v>100</v>
      </c>
      <c r="R803">
        <v>100</v>
      </c>
      <c r="S803">
        <v>50</v>
      </c>
      <c r="T803">
        <v>58.332999999999998</v>
      </c>
      <c r="U803">
        <v>64.286000000000001</v>
      </c>
      <c r="V803">
        <f t="shared" si="36"/>
        <v>75.557249999999996</v>
      </c>
      <c r="W803">
        <f t="shared" si="37"/>
        <v>77.453000000000003</v>
      </c>
      <c r="X803">
        <f t="shared" si="38"/>
        <v>78.713499999999996</v>
      </c>
      <c r="Y803">
        <v>13</v>
      </c>
      <c r="Z803" s="2" t="s">
        <v>26</v>
      </c>
    </row>
    <row r="804" spans="1:26" x14ac:dyDescent="0.25">
      <c r="A804">
        <v>1176</v>
      </c>
      <c r="B804">
        <v>880</v>
      </c>
      <c r="C804" t="s">
        <v>22</v>
      </c>
      <c r="D804" t="s">
        <v>23</v>
      </c>
      <c r="E804" t="s">
        <v>30</v>
      </c>
      <c r="F804" t="s">
        <v>725</v>
      </c>
      <c r="G804" t="str">
        <f>VLOOKUP(F804,Hospitals!E:H,4,FALSE)</f>
        <v>12.99864 , 80.22445</v>
      </c>
      <c r="H804" s="1">
        <v>45779</v>
      </c>
      <c r="I804" s="1">
        <v>45779</v>
      </c>
      <c r="J804">
        <v>100</v>
      </c>
      <c r="K804">
        <v>100</v>
      </c>
      <c r="L804">
        <v>100</v>
      </c>
      <c r="M804">
        <v>100</v>
      </c>
      <c r="N804">
        <v>100</v>
      </c>
      <c r="O804">
        <v>100</v>
      </c>
      <c r="P804">
        <v>100</v>
      </c>
      <c r="Q804">
        <v>100</v>
      </c>
      <c r="R804">
        <v>100</v>
      </c>
      <c r="S804">
        <v>70</v>
      </c>
      <c r="T804">
        <v>66.667000000000002</v>
      </c>
      <c r="U804">
        <v>71.429000000000002</v>
      </c>
      <c r="V804">
        <f t="shared" si="36"/>
        <v>92.5</v>
      </c>
      <c r="W804">
        <f t="shared" si="37"/>
        <v>91.666750000000008</v>
      </c>
      <c r="X804">
        <f t="shared" si="38"/>
        <v>92.857249999999993</v>
      </c>
      <c r="Y804">
        <v>13</v>
      </c>
      <c r="Z804" s="2" t="s">
        <v>26</v>
      </c>
    </row>
    <row r="805" spans="1:26" x14ac:dyDescent="0.25">
      <c r="A805">
        <v>1396</v>
      </c>
      <c r="B805">
        <v>880</v>
      </c>
      <c r="C805" t="s">
        <v>22</v>
      </c>
      <c r="D805" t="s">
        <v>23</v>
      </c>
      <c r="E805" t="s">
        <v>30</v>
      </c>
      <c r="F805" t="s">
        <v>725</v>
      </c>
      <c r="G805" t="str">
        <f>VLOOKUP(F805,Hospitals!E:H,4,FALSE)</f>
        <v>12.99864 , 80.22445</v>
      </c>
      <c r="H805" s="1">
        <v>46118</v>
      </c>
      <c r="I805" s="1">
        <v>46140</v>
      </c>
      <c r="J805">
        <v>88.534999999999997</v>
      </c>
      <c r="K805">
        <v>86.391000000000005</v>
      </c>
      <c r="L805">
        <v>84.659000000000006</v>
      </c>
      <c r="M805">
        <v>5.8819999999999997</v>
      </c>
      <c r="N805">
        <v>8.6959999999999997</v>
      </c>
      <c r="O805">
        <v>8.6959999999999997</v>
      </c>
      <c r="P805">
        <v>5.8819999999999997</v>
      </c>
      <c r="Q805">
        <v>8.6959999999999997</v>
      </c>
      <c r="R805">
        <v>8.6959999999999997</v>
      </c>
      <c r="S805">
        <v>70</v>
      </c>
      <c r="T805">
        <v>66.667000000000002</v>
      </c>
      <c r="U805">
        <v>71.429000000000002</v>
      </c>
      <c r="V805">
        <f t="shared" si="36"/>
        <v>42.574750000000002</v>
      </c>
      <c r="W805">
        <f t="shared" si="37"/>
        <v>42.612499999999997</v>
      </c>
      <c r="X805">
        <f t="shared" si="38"/>
        <v>43.370000000000005</v>
      </c>
      <c r="Y805">
        <v>13</v>
      </c>
      <c r="Z805" s="2" t="s">
        <v>26</v>
      </c>
    </row>
    <row r="806" spans="1:26" x14ac:dyDescent="0.25">
      <c r="A806">
        <v>770</v>
      </c>
      <c r="B806">
        <v>880</v>
      </c>
      <c r="C806" t="s">
        <v>22</v>
      </c>
      <c r="D806" t="s">
        <v>23</v>
      </c>
      <c r="E806" t="s">
        <v>30</v>
      </c>
      <c r="F806" t="s">
        <v>725</v>
      </c>
      <c r="G806" t="str">
        <f>VLOOKUP(F806,Hospitals!E:H,4,FALSE)</f>
        <v>12.99864 , 80.22445</v>
      </c>
      <c r="H806" s="1">
        <v>45441</v>
      </c>
      <c r="I806" s="1">
        <v>45441</v>
      </c>
      <c r="J806">
        <v>43.311999999999998</v>
      </c>
      <c r="K806">
        <v>42.012</v>
      </c>
      <c r="L806">
        <v>42.045000000000002</v>
      </c>
      <c r="M806">
        <v>35.293999999999997</v>
      </c>
      <c r="N806">
        <v>47.826000000000001</v>
      </c>
      <c r="O806">
        <v>47.826000000000001</v>
      </c>
      <c r="P806">
        <v>35.293999999999997</v>
      </c>
      <c r="Q806">
        <v>47.826000000000001</v>
      </c>
      <c r="R806">
        <v>47.826000000000001</v>
      </c>
      <c r="S806">
        <v>70</v>
      </c>
      <c r="T806">
        <v>66.667000000000002</v>
      </c>
      <c r="U806">
        <v>71.429000000000002</v>
      </c>
      <c r="V806">
        <f t="shared" si="36"/>
        <v>45.974999999999994</v>
      </c>
      <c r="W806">
        <f t="shared" si="37"/>
        <v>51.082749999999997</v>
      </c>
      <c r="X806">
        <f t="shared" si="38"/>
        <v>52.281500000000001</v>
      </c>
      <c r="Y806">
        <v>13</v>
      </c>
      <c r="Z806" s="2" t="s">
        <v>26</v>
      </c>
    </row>
    <row r="807" spans="1:26" x14ac:dyDescent="0.25">
      <c r="A807">
        <v>1185</v>
      </c>
      <c r="B807">
        <v>880</v>
      </c>
      <c r="C807" t="s">
        <v>22</v>
      </c>
      <c r="D807" t="s">
        <v>23</v>
      </c>
      <c r="E807" t="s">
        <v>30</v>
      </c>
      <c r="F807" t="s">
        <v>725</v>
      </c>
      <c r="G807" t="str">
        <f>VLOOKUP(F807,Hospitals!E:H,4,FALSE)</f>
        <v>12.99864 , 80.22445</v>
      </c>
      <c r="H807" s="1">
        <v>45876</v>
      </c>
      <c r="I807" s="1">
        <v>45876</v>
      </c>
      <c r="J807">
        <v>89.171999999999997</v>
      </c>
      <c r="K807">
        <v>86.981999999999999</v>
      </c>
      <c r="L807">
        <v>85.227000000000004</v>
      </c>
      <c r="M807">
        <v>29.411999999999999</v>
      </c>
      <c r="N807">
        <v>34.783000000000001</v>
      </c>
      <c r="O807">
        <v>34.783000000000001</v>
      </c>
      <c r="P807">
        <v>29.411999999999999</v>
      </c>
      <c r="Q807">
        <v>34.783000000000001</v>
      </c>
      <c r="R807">
        <v>34.783000000000001</v>
      </c>
      <c r="S807">
        <v>70</v>
      </c>
      <c r="T807">
        <v>66.667000000000002</v>
      </c>
      <c r="U807">
        <v>71.429000000000002</v>
      </c>
      <c r="V807">
        <f t="shared" si="36"/>
        <v>54.499000000000002</v>
      </c>
      <c r="W807">
        <f t="shared" si="37"/>
        <v>55.803750000000001</v>
      </c>
      <c r="X807">
        <f t="shared" si="38"/>
        <v>56.555500000000002</v>
      </c>
      <c r="Y807">
        <v>13</v>
      </c>
      <c r="Z807" s="2" t="s">
        <v>26</v>
      </c>
    </row>
    <row r="808" spans="1:26" x14ac:dyDescent="0.25">
      <c r="A808">
        <v>1186</v>
      </c>
      <c r="B808">
        <v>880</v>
      </c>
      <c r="C808" t="s">
        <v>22</v>
      </c>
      <c r="D808" t="s">
        <v>23</v>
      </c>
      <c r="E808" t="s">
        <v>30</v>
      </c>
      <c r="F808" t="s">
        <v>725</v>
      </c>
      <c r="G808" t="str">
        <f>VLOOKUP(F808,Hospitals!E:H,4,FALSE)</f>
        <v>12.99864 , 80.22445</v>
      </c>
      <c r="H808" s="1">
        <v>45877</v>
      </c>
      <c r="I808" s="1">
        <v>45877</v>
      </c>
      <c r="J808">
        <v>89.171999999999997</v>
      </c>
      <c r="K808">
        <v>86.981999999999999</v>
      </c>
      <c r="L808">
        <v>85.227000000000004</v>
      </c>
      <c r="M808">
        <v>29.411999999999999</v>
      </c>
      <c r="N808">
        <v>34.783000000000001</v>
      </c>
      <c r="O808">
        <v>34.783000000000001</v>
      </c>
      <c r="P808">
        <v>29.411999999999999</v>
      </c>
      <c r="Q808">
        <v>34.783000000000001</v>
      </c>
      <c r="R808">
        <v>34.783000000000001</v>
      </c>
      <c r="S808">
        <v>70</v>
      </c>
      <c r="T808">
        <v>66.667000000000002</v>
      </c>
      <c r="U808">
        <v>71.429000000000002</v>
      </c>
      <c r="V808">
        <f t="shared" si="36"/>
        <v>54.499000000000002</v>
      </c>
      <c r="W808">
        <f t="shared" si="37"/>
        <v>55.803750000000001</v>
      </c>
      <c r="X808">
        <f t="shared" si="38"/>
        <v>56.555500000000002</v>
      </c>
      <c r="Y808">
        <v>13</v>
      </c>
      <c r="Z808" s="2" t="s">
        <v>26</v>
      </c>
    </row>
    <row r="809" spans="1:26" x14ac:dyDescent="0.25">
      <c r="A809">
        <v>1297</v>
      </c>
      <c r="B809">
        <v>880</v>
      </c>
      <c r="C809" t="s">
        <v>22</v>
      </c>
      <c r="D809" t="s">
        <v>23</v>
      </c>
      <c r="E809" t="s">
        <v>30</v>
      </c>
      <c r="F809" t="s">
        <v>725</v>
      </c>
      <c r="G809" t="str">
        <f>VLOOKUP(F809,Hospitals!E:H,4,FALSE)</f>
        <v>12.99864 , 80.22445</v>
      </c>
      <c r="H809" s="1">
        <v>46000</v>
      </c>
      <c r="I809" s="1">
        <v>46010</v>
      </c>
      <c r="J809">
        <v>89.171999999999997</v>
      </c>
      <c r="K809">
        <v>86.981999999999999</v>
      </c>
      <c r="L809">
        <v>85.227000000000004</v>
      </c>
      <c r="M809">
        <v>41.176000000000002</v>
      </c>
      <c r="N809">
        <v>52.173999999999999</v>
      </c>
      <c r="O809">
        <v>52.173999999999999</v>
      </c>
      <c r="P809">
        <v>41.176000000000002</v>
      </c>
      <c r="Q809">
        <v>52.173999999999999</v>
      </c>
      <c r="R809">
        <v>52.173999999999999</v>
      </c>
      <c r="S809">
        <v>70</v>
      </c>
      <c r="T809">
        <v>66.667000000000002</v>
      </c>
      <c r="U809">
        <v>71.429000000000002</v>
      </c>
      <c r="V809">
        <f t="shared" si="36"/>
        <v>60.381</v>
      </c>
      <c r="W809">
        <f t="shared" si="37"/>
        <v>64.499250000000004</v>
      </c>
      <c r="X809">
        <f t="shared" si="38"/>
        <v>65.251000000000005</v>
      </c>
      <c r="Y809">
        <v>13</v>
      </c>
      <c r="Z809" s="2" t="s">
        <v>26</v>
      </c>
    </row>
    <row r="810" spans="1:26" x14ac:dyDescent="0.25">
      <c r="A810">
        <v>1183</v>
      </c>
      <c r="B810">
        <v>880</v>
      </c>
      <c r="C810" t="s">
        <v>22</v>
      </c>
      <c r="D810" t="s">
        <v>23</v>
      </c>
      <c r="E810" t="s">
        <v>30</v>
      </c>
      <c r="F810" t="s">
        <v>725</v>
      </c>
      <c r="G810" t="str">
        <f>VLOOKUP(F810,Hospitals!E:H,4,FALSE)</f>
        <v>12.99864 , 80.22445</v>
      </c>
      <c r="H810" s="1">
        <v>45876</v>
      </c>
      <c r="I810" s="1">
        <v>45876</v>
      </c>
      <c r="J810">
        <v>96.177999999999997</v>
      </c>
      <c r="K810">
        <v>96.45</v>
      </c>
      <c r="L810">
        <v>96.590999999999994</v>
      </c>
      <c r="M810">
        <v>100</v>
      </c>
      <c r="N810">
        <v>100</v>
      </c>
      <c r="O810">
        <v>100</v>
      </c>
      <c r="P810">
        <v>100</v>
      </c>
      <c r="Q810">
        <v>100</v>
      </c>
      <c r="R810">
        <v>100</v>
      </c>
      <c r="S810">
        <v>70</v>
      </c>
      <c r="T810">
        <v>66.667000000000002</v>
      </c>
      <c r="U810">
        <v>71.429000000000002</v>
      </c>
      <c r="V810">
        <f t="shared" si="36"/>
        <v>91.544499999999999</v>
      </c>
      <c r="W810">
        <f t="shared" si="37"/>
        <v>90.77924999999999</v>
      </c>
      <c r="X810">
        <f t="shared" si="38"/>
        <v>92.004999999999995</v>
      </c>
      <c r="Y810">
        <v>13</v>
      </c>
      <c r="Z810" s="2" t="s">
        <v>26</v>
      </c>
    </row>
    <row r="811" spans="1:26" x14ac:dyDescent="0.25">
      <c r="A811">
        <v>1173</v>
      </c>
      <c r="B811">
        <v>880</v>
      </c>
      <c r="C811" t="s">
        <v>22</v>
      </c>
      <c r="D811" t="s">
        <v>23</v>
      </c>
      <c r="E811" t="s">
        <v>30</v>
      </c>
      <c r="F811" t="s">
        <v>725</v>
      </c>
      <c r="G811" t="str">
        <f>VLOOKUP(F811,Hospitals!E:H,4,FALSE)</f>
        <v>12.99864 , 80.22445</v>
      </c>
      <c r="H811" s="1">
        <v>45772</v>
      </c>
      <c r="I811" s="1">
        <v>45779</v>
      </c>
      <c r="J811">
        <v>100</v>
      </c>
      <c r="K811">
        <v>100</v>
      </c>
      <c r="L811">
        <v>100</v>
      </c>
      <c r="M811">
        <v>100</v>
      </c>
      <c r="N811">
        <v>100</v>
      </c>
      <c r="O811">
        <v>100</v>
      </c>
      <c r="P811">
        <v>100</v>
      </c>
      <c r="Q811">
        <v>100</v>
      </c>
      <c r="R811">
        <v>100</v>
      </c>
      <c r="S811">
        <v>70</v>
      </c>
      <c r="T811">
        <v>66.667000000000002</v>
      </c>
      <c r="U811">
        <v>71.429000000000002</v>
      </c>
      <c r="V811">
        <f t="shared" si="36"/>
        <v>92.5</v>
      </c>
      <c r="W811">
        <f t="shared" si="37"/>
        <v>91.666750000000008</v>
      </c>
      <c r="X811">
        <f t="shared" si="38"/>
        <v>92.857249999999993</v>
      </c>
      <c r="Y811">
        <v>13</v>
      </c>
      <c r="Z811" s="2" t="s">
        <v>26</v>
      </c>
    </row>
    <row r="812" spans="1:26" x14ac:dyDescent="0.25">
      <c r="A812">
        <v>1192</v>
      </c>
      <c r="B812">
        <v>880</v>
      </c>
      <c r="C812" t="s">
        <v>22</v>
      </c>
      <c r="D812" t="s">
        <v>23</v>
      </c>
      <c r="E812" t="s">
        <v>30</v>
      </c>
      <c r="F812" t="s">
        <v>725</v>
      </c>
      <c r="G812" t="str">
        <f>VLOOKUP(F812,Hospitals!E:H,4,FALSE)</f>
        <v>12.99864 , 80.22445</v>
      </c>
      <c r="H812" s="1">
        <v>45890</v>
      </c>
      <c r="I812" s="1">
        <v>45903</v>
      </c>
      <c r="J812">
        <v>89.171999999999997</v>
      </c>
      <c r="K812">
        <v>86.981999999999999</v>
      </c>
      <c r="L812">
        <v>85.227000000000004</v>
      </c>
      <c r="M812">
        <v>29.411999999999999</v>
      </c>
      <c r="N812">
        <v>34.783000000000001</v>
      </c>
      <c r="O812">
        <v>34.783000000000001</v>
      </c>
      <c r="P812">
        <v>29.411999999999999</v>
      </c>
      <c r="Q812">
        <v>34.783000000000001</v>
      </c>
      <c r="R812">
        <v>34.783000000000001</v>
      </c>
      <c r="S812">
        <v>70</v>
      </c>
      <c r="T812">
        <v>66.667000000000002</v>
      </c>
      <c r="U812">
        <v>71.429000000000002</v>
      </c>
      <c r="V812">
        <f t="shared" si="36"/>
        <v>54.499000000000002</v>
      </c>
      <c r="W812">
        <f t="shared" si="37"/>
        <v>55.803750000000001</v>
      </c>
      <c r="X812">
        <f t="shared" si="38"/>
        <v>56.555500000000002</v>
      </c>
      <c r="Y812">
        <v>13</v>
      </c>
      <c r="Z812" s="2" t="s">
        <v>26</v>
      </c>
    </row>
    <row r="813" spans="1:26" x14ac:dyDescent="0.25">
      <c r="A813">
        <v>1178</v>
      </c>
      <c r="B813">
        <v>880</v>
      </c>
      <c r="C813" t="s">
        <v>22</v>
      </c>
      <c r="D813" t="s">
        <v>23</v>
      </c>
      <c r="E813" t="s">
        <v>30</v>
      </c>
      <c r="F813" t="s">
        <v>725</v>
      </c>
      <c r="G813" t="str">
        <f>VLOOKUP(F813,Hospitals!E:H,4,FALSE)</f>
        <v>12.99864 , 80.22445</v>
      </c>
      <c r="H813" s="1">
        <v>45784</v>
      </c>
      <c r="I813" s="1">
        <v>45784</v>
      </c>
      <c r="J813">
        <v>100</v>
      </c>
      <c r="K813">
        <v>100</v>
      </c>
      <c r="L813">
        <v>100</v>
      </c>
      <c r="M813">
        <v>100</v>
      </c>
      <c r="N813">
        <v>100</v>
      </c>
      <c r="O813">
        <v>100</v>
      </c>
      <c r="P813">
        <v>100</v>
      </c>
      <c r="Q813">
        <v>100</v>
      </c>
      <c r="R813">
        <v>100</v>
      </c>
      <c r="S813">
        <v>70</v>
      </c>
      <c r="T813">
        <v>66.667000000000002</v>
      </c>
      <c r="U813">
        <v>71.429000000000002</v>
      </c>
      <c r="V813">
        <f t="shared" si="36"/>
        <v>92.5</v>
      </c>
      <c r="W813">
        <f t="shared" si="37"/>
        <v>91.666750000000008</v>
      </c>
      <c r="X813">
        <f t="shared" si="38"/>
        <v>92.857249999999993</v>
      </c>
      <c r="Y813">
        <v>13</v>
      </c>
      <c r="Z813" s="2" t="s">
        <v>26</v>
      </c>
    </row>
    <row r="814" spans="1:26" x14ac:dyDescent="0.25">
      <c r="A814">
        <v>792</v>
      </c>
      <c r="B814">
        <v>880</v>
      </c>
      <c r="C814" t="s">
        <v>22</v>
      </c>
      <c r="D814" t="s">
        <v>23</v>
      </c>
      <c r="E814" t="s">
        <v>30</v>
      </c>
      <c r="F814" t="s">
        <v>725</v>
      </c>
      <c r="G814" t="str">
        <f>VLOOKUP(F814,Hospitals!E:H,4,FALSE)</f>
        <v>12.99864 , 80.22445</v>
      </c>
      <c r="H814" s="1">
        <v>45748</v>
      </c>
      <c r="I814" s="1">
        <v>45748</v>
      </c>
      <c r="J814">
        <v>100</v>
      </c>
      <c r="K814">
        <v>100</v>
      </c>
      <c r="L814">
        <v>100</v>
      </c>
      <c r="M814">
        <v>100</v>
      </c>
      <c r="N814">
        <v>100</v>
      </c>
      <c r="O814">
        <v>100</v>
      </c>
      <c r="P814">
        <v>100</v>
      </c>
      <c r="Q814">
        <v>100</v>
      </c>
      <c r="R814">
        <v>100</v>
      </c>
      <c r="S814">
        <v>70</v>
      </c>
      <c r="T814">
        <v>66.667000000000002</v>
      </c>
      <c r="U814">
        <v>71.429000000000002</v>
      </c>
      <c r="V814">
        <f t="shared" si="36"/>
        <v>92.5</v>
      </c>
      <c r="W814">
        <f t="shared" si="37"/>
        <v>91.666750000000008</v>
      </c>
      <c r="X814">
        <f t="shared" si="38"/>
        <v>92.857249999999993</v>
      </c>
      <c r="Y814">
        <v>13</v>
      </c>
      <c r="Z814" s="2" t="s">
        <v>26</v>
      </c>
    </row>
    <row r="815" spans="1:26" x14ac:dyDescent="0.25">
      <c r="A815">
        <v>1168</v>
      </c>
      <c r="B815">
        <v>880</v>
      </c>
      <c r="C815" t="s">
        <v>22</v>
      </c>
      <c r="D815" t="s">
        <v>23</v>
      </c>
      <c r="E815" t="s">
        <v>30</v>
      </c>
      <c r="F815" t="s">
        <v>725</v>
      </c>
      <c r="G815" t="str">
        <f>VLOOKUP(F815,Hospitals!E:H,4,FALSE)</f>
        <v>12.99864 , 80.22445</v>
      </c>
      <c r="H815" s="1">
        <v>45769</v>
      </c>
      <c r="I815" s="1">
        <v>45769</v>
      </c>
      <c r="J815">
        <v>100</v>
      </c>
      <c r="K815">
        <v>100</v>
      </c>
      <c r="L815">
        <v>100</v>
      </c>
      <c r="M815">
        <v>100</v>
      </c>
      <c r="N815">
        <v>100</v>
      </c>
      <c r="O815">
        <v>100</v>
      </c>
      <c r="P815">
        <v>100</v>
      </c>
      <c r="Q815">
        <v>100</v>
      </c>
      <c r="R815">
        <v>100</v>
      </c>
      <c r="S815">
        <v>70</v>
      </c>
      <c r="T815">
        <v>66.667000000000002</v>
      </c>
      <c r="U815">
        <v>71.429000000000002</v>
      </c>
      <c r="V815">
        <f t="shared" si="36"/>
        <v>92.5</v>
      </c>
      <c r="W815">
        <f t="shared" si="37"/>
        <v>91.666750000000008</v>
      </c>
      <c r="X815">
        <f t="shared" si="38"/>
        <v>92.857249999999993</v>
      </c>
      <c r="Y815">
        <v>13</v>
      </c>
      <c r="Z815" s="2" t="s">
        <v>26</v>
      </c>
    </row>
    <row r="816" spans="1:26" x14ac:dyDescent="0.25">
      <c r="A816">
        <v>1187</v>
      </c>
      <c r="B816">
        <v>880</v>
      </c>
      <c r="C816" t="s">
        <v>22</v>
      </c>
      <c r="D816" t="s">
        <v>23</v>
      </c>
      <c r="E816" t="s">
        <v>30</v>
      </c>
      <c r="F816" t="s">
        <v>725</v>
      </c>
      <c r="G816" t="str">
        <f>VLOOKUP(F816,Hospitals!E:H,4,FALSE)</f>
        <v>12.99864 , 80.22445</v>
      </c>
      <c r="H816" s="1">
        <v>45880</v>
      </c>
      <c r="I816" s="1">
        <v>45880</v>
      </c>
      <c r="J816">
        <v>89.171999999999997</v>
      </c>
      <c r="K816">
        <v>86.981999999999999</v>
      </c>
      <c r="L816">
        <v>85.227000000000004</v>
      </c>
      <c r="M816">
        <v>29.411999999999999</v>
      </c>
      <c r="N816">
        <v>34.783000000000001</v>
      </c>
      <c r="O816">
        <v>34.783000000000001</v>
      </c>
      <c r="P816">
        <v>29.411999999999999</v>
      </c>
      <c r="Q816">
        <v>34.783000000000001</v>
      </c>
      <c r="R816">
        <v>34.783000000000001</v>
      </c>
      <c r="S816">
        <v>70</v>
      </c>
      <c r="T816">
        <v>66.667000000000002</v>
      </c>
      <c r="U816">
        <v>71.429000000000002</v>
      </c>
      <c r="V816">
        <f t="shared" si="36"/>
        <v>54.499000000000002</v>
      </c>
      <c r="W816">
        <f t="shared" si="37"/>
        <v>55.803750000000001</v>
      </c>
      <c r="X816">
        <f t="shared" si="38"/>
        <v>56.555500000000002</v>
      </c>
      <c r="Y816">
        <v>13</v>
      </c>
      <c r="Z816" s="2" t="s">
        <v>26</v>
      </c>
    </row>
    <row r="817" spans="1:26" x14ac:dyDescent="0.25">
      <c r="A817">
        <v>1301</v>
      </c>
      <c r="B817">
        <v>880</v>
      </c>
      <c r="C817" t="s">
        <v>22</v>
      </c>
      <c r="D817" t="s">
        <v>23</v>
      </c>
      <c r="E817" t="s">
        <v>30</v>
      </c>
      <c r="F817" t="s">
        <v>725</v>
      </c>
      <c r="G817" t="str">
        <f>VLOOKUP(F817,Hospitals!E:H,4,FALSE)</f>
        <v>12.99864 , 80.22445</v>
      </c>
      <c r="H817" s="1">
        <v>46010</v>
      </c>
      <c r="I817" s="1">
        <v>46031</v>
      </c>
      <c r="J817">
        <v>89.171999999999997</v>
      </c>
      <c r="K817">
        <v>86.981999999999999</v>
      </c>
      <c r="L817">
        <v>85.227000000000004</v>
      </c>
      <c r="M817">
        <v>41.176000000000002</v>
      </c>
      <c r="N817">
        <v>52.173999999999999</v>
      </c>
      <c r="O817">
        <v>52.173999999999999</v>
      </c>
      <c r="P817">
        <v>41.176000000000002</v>
      </c>
      <c r="Q817">
        <v>52.173999999999999</v>
      </c>
      <c r="R817">
        <v>52.173999999999999</v>
      </c>
      <c r="S817">
        <v>70</v>
      </c>
      <c r="T817">
        <v>66.667000000000002</v>
      </c>
      <c r="U817">
        <v>71.429000000000002</v>
      </c>
      <c r="V817">
        <f t="shared" si="36"/>
        <v>60.381</v>
      </c>
      <c r="W817">
        <f t="shared" si="37"/>
        <v>64.499250000000004</v>
      </c>
      <c r="X817">
        <f t="shared" si="38"/>
        <v>65.251000000000005</v>
      </c>
      <c r="Y817">
        <v>13</v>
      </c>
      <c r="Z817" s="2" t="s">
        <v>26</v>
      </c>
    </row>
    <row r="818" spans="1:26" x14ac:dyDescent="0.25">
      <c r="A818">
        <v>769</v>
      </c>
      <c r="B818">
        <v>880</v>
      </c>
      <c r="C818" t="s">
        <v>22</v>
      </c>
      <c r="D818" t="s">
        <v>23</v>
      </c>
      <c r="E818" t="s">
        <v>30</v>
      </c>
      <c r="F818" t="s">
        <v>725</v>
      </c>
      <c r="G818" t="str">
        <f>VLOOKUP(F818,Hospitals!E:H,4,FALSE)</f>
        <v>12.99864 , 80.22445</v>
      </c>
      <c r="H818" s="1">
        <v>45441</v>
      </c>
      <c r="I818" s="1">
        <v>45441</v>
      </c>
      <c r="J818">
        <v>66.242000000000004</v>
      </c>
      <c r="K818">
        <v>68.046999999999997</v>
      </c>
      <c r="L818">
        <v>69.317999999999998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70</v>
      </c>
      <c r="T818">
        <v>66.667000000000002</v>
      </c>
      <c r="U818">
        <v>71.429000000000002</v>
      </c>
      <c r="V818">
        <f t="shared" si="36"/>
        <v>34.060500000000005</v>
      </c>
      <c r="W818">
        <f t="shared" si="37"/>
        <v>33.6785</v>
      </c>
      <c r="X818">
        <f t="shared" si="38"/>
        <v>35.186750000000004</v>
      </c>
      <c r="Y818">
        <v>13</v>
      </c>
      <c r="Z818" s="2" t="s">
        <v>26</v>
      </c>
    </row>
    <row r="819" spans="1:26" x14ac:dyDescent="0.25">
      <c r="A819">
        <v>1364</v>
      </c>
      <c r="B819">
        <v>880</v>
      </c>
      <c r="C819" t="s">
        <v>22</v>
      </c>
      <c r="D819" t="s">
        <v>23</v>
      </c>
      <c r="E819" t="s">
        <v>30</v>
      </c>
      <c r="F819" t="s">
        <v>725</v>
      </c>
      <c r="G819" t="str">
        <f>VLOOKUP(F819,Hospitals!E:H,4,FALSE)</f>
        <v>12.99864 , 80.22445</v>
      </c>
      <c r="H819" s="1">
        <v>46045</v>
      </c>
      <c r="I819" s="1">
        <v>46045</v>
      </c>
      <c r="J819">
        <v>87.897999999999996</v>
      </c>
      <c r="K819">
        <v>85.799000000000007</v>
      </c>
      <c r="L819">
        <v>84.090999999999994</v>
      </c>
      <c r="M819">
        <v>5.8819999999999997</v>
      </c>
      <c r="N819">
        <v>8.6959999999999997</v>
      </c>
      <c r="O819">
        <v>8.6959999999999997</v>
      </c>
      <c r="P819">
        <v>5.8819999999999997</v>
      </c>
      <c r="Q819">
        <v>8.6959999999999997</v>
      </c>
      <c r="R819">
        <v>8.6959999999999997</v>
      </c>
      <c r="S819">
        <v>70</v>
      </c>
      <c r="T819">
        <v>66.667000000000002</v>
      </c>
      <c r="U819">
        <v>71.429000000000002</v>
      </c>
      <c r="V819">
        <f t="shared" si="36"/>
        <v>42.415500000000002</v>
      </c>
      <c r="W819">
        <f t="shared" si="37"/>
        <v>42.464500000000001</v>
      </c>
      <c r="X819">
        <f t="shared" si="38"/>
        <v>43.227999999999994</v>
      </c>
      <c r="Y819">
        <v>13</v>
      </c>
      <c r="Z819" s="2" t="s">
        <v>26</v>
      </c>
    </row>
    <row r="820" spans="1:26" x14ac:dyDescent="0.25">
      <c r="A820">
        <v>1184</v>
      </c>
      <c r="B820">
        <v>880</v>
      </c>
      <c r="C820" t="s">
        <v>22</v>
      </c>
      <c r="D820" t="s">
        <v>23</v>
      </c>
      <c r="E820" t="s">
        <v>30</v>
      </c>
      <c r="F820" t="s">
        <v>725</v>
      </c>
      <c r="G820" t="str">
        <f>VLOOKUP(F820,Hospitals!E:H,4,FALSE)</f>
        <v>12.99864 , 80.22445</v>
      </c>
      <c r="H820" s="1">
        <v>45876</v>
      </c>
      <c r="I820" s="1">
        <v>45876</v>
      </c>
      <c r="J820">
        <v>96.177999999999997</v>
      </c>
      <c r="K820">
        <v>96.45</v>
      </c>
      <c r="L820">
        <v>96.590999999999994</v>
      </c>
      <c r="M820">
        <v>100</v>
      </c>
      <c r="N820">
        <v>100</v>
      </c>
      <c r="O820">
        <v>100</v>
      </c>
      <c r="P820">
        <v>100</v>
      </c>
      <c r="Q820">
        <v>100</v>
      </c>
      <c r="R820">
        <v>100</v>
      </c>
      <c r="S820">
        <v>70</v>
      </c>
      <c r="T820">
        <v>66.667000000000002</v>
      </c>
      <c r="U820">
        <v>71.429000000000002</v>
      </c>
      <c r="V820">
        <f t="shared" si="36"/>
        <v>91.544499999999999</v>
      </c>
      <c r="W820">
        <f t="shared" si="37"/>
        <v>90.77924999999999</v>
      </c>
      <c r="X820">
        <f t="shared" si="38"/>
        <v>92.004999999999995</v>
      </c>
      <c r="Y820">
        <v>13</v>
      </c>
      <c r="Z820" s="2" t="s">
        <v>26</v>
      </c>
    </row>
    <row r="821" spans="1:26" x14ac:dyDescent="0.25">
      <c r="A821">
        <v>1171</v>
      </c>
      <c r="B821">
        <v>880</v>
      </c>
      <c r="C821" t="s">
        <v>22</v>
      </c>
      <c r="D821" t="s">
        <v>23</v>
      </c>
      <c r="E821" t="s">
        <v>30</v>
      </c>
      <c r="F821" t="s">
        <v>725</v>
      </c>
      <c r="G821" t="str">
        <f>VLOOKUP(F821,Hospitals!E:H,4,FALSE)</f>
        <v>12.99864 , 80.22445</v>
      </c>
      <c r="H821" s="1">
        <v>45769</v>
      </c>
      <c r="I821" s="1">
        <v>45772</v>
      </c>
      <c r="J821">
        <v>100</v>
      </c>
      <c r="K821">
        <v>100</v>
      </c>
      <c r="L821">
        <v>100</v>
      </c>
      <c r="M821">
        <v>100</v>
      </c>
      <c r="N821">
        <v>100</v>
      </c>
      <c r="O821">
        <v>100</v>
      </c>
      <c r="P821">
        <v>100</v>
      </c>
      <c r="Q821">
        <v>100</v>
      </c>
      <c r="R821">
        <v>100</v>
      </c>
      <c r="S821">
        <v>70</v>
      </c>
      <c r="T821">
        <v>66.667000000000002</v>
      </c>
      <c r="U821">
        <v>71.429000000000002</v>
      </c>
      <c r="V821">
        <f t="shared" si="36"/>
        <v>92.5</v>
      </c>
      <c r="W821">
        <f t="shared" si="37"/>
        <v>91.666750000000008</v>
      </c>
      <c r="X821">
        <f t="shared" si="38"/>
        <v>92.857249999999993</v>
      </c>
      <c r="Y821">
        <v>13</v>
      </c>
      <c r="Z821" s="2" t="s">
        <v>26</v>
      </c>
    </row>
    <row r="822" spans="1:26" x14ac:dyDescent="0.25">
      <c r="A822">
        <v>1177</v>
      </c>
      <c r="B822">
        <v>880</v>
      </c>
      <c r="C822" t="s">
        <v>22</v>
      </c>
      <c r="D822" t="s">
        <v>23</v>
      </c>
      <c r="E822" t="s">
        <v>30</v>
      </c>
      <c r="F822" t="s">
        <v>725</v>
      </c>
      <c r="G822" t="str">
        <f>VLOOKUP(F822,Hospitals!E:H,4,FALSE)</f>
        <v>12.99864 , 80.22445</v>
      </c>
      <c r="H822" s="1">
        <v>45779</v>
      </c>
      <c r="I822" s="1">
        <v>45784</v>
      </c>
      <c r="J822">
        <v>100</v>
      </c>
      <c r="K822">
        <v>100</v>
      </c>
      <c r="L822">
        <v>100</v>
      </c>
      <c r="M822">
        <v>100</v>
      </c>
      <c r="N822">
        <v>100</v>
      </c>
      <c r="O822">
        <v>100</v>
      </c>
      <c r="P822">
        <v>100</v>
      </c>
      <c r="Q822">
        <v>100</v>
      </c>
      <c r="R822">
        <v>100</v>
      </c>
      <c r="S822">
        <v>70</v>
      </c>
      <c r="T822">
        <v>66.667000000000002</v>
      </c>
      <c r="U822">
        <v>71.429000000000002</v>
      </c>
      <c r="V822">
        <f t="shared" si="36"/>
        <v>92.5</v>
      </c>
      <c r="W822">
        <f t="shared" si="37"/>
        <v>91.666750000000008</v>
      </c>
      <c r="X822">
        <f t="shared" si="38"/>
        <v>92.857249999999993</v>
      </c>
      <c r="Y822">
        <v>13</v>
      </c>
      <c r="Z822" s="2" t="s">
        <v>26</v>
      </c>
    </row>
    <row r="823" spans="1:26" x14ac:dyDescent="0.25">
      <c r="A823">
        <v>1193</v>
      </c>
      <c r="B823">
        <v>880</v>
      </c>
      <c r="C823" t="s">
        <v>22</v>
      </c>
      <c r="D823" t="s">
        <v>23</v>
      </c>
      <c r="E823" t="s">
        <v>30</v>
      </c>
      <c r="F823" t="s">
        <v>725</v>
      </c>
      <c r="G823" t="str">
        <f>VLOOKUP(F823,Hospitals!E:H,4,FALSE)</f>
        <v>12.99864 , 80.22445</v>
      </c>
      <c r="H823" s="1">
        <v>45904</v>
      </c>
      <c r="I823" s="1">
        <v>45908</v>
      </c>
      <c r="J823">
        <v>89.171999999999997</v>
      </c>
      <c r="K823">
        <v>86.981999999999999</v>
      </c>
      <c r="L823">
        <v>85.227000000000004</v>
      </c>
      <c r="M823">
        <v>29.411999999999999</v>
      </c>
      <c r="N823">
        <v>34.783000000000001</v>
      </c>
      <c r="O823">
        <v>34.783000000000001</v>
      </c>
      <c r="P823">
        <v>29.411999999999999</v>
      </c>
      <c r="Q823">
        <v>34.783000000000001</v>
      </c>
      <c r="R823">
        <v>34.783000000000001</v>
      </c>
      <c r="S823">
        <v>70</v>
      </c>
      <c r="T823">
        <v>66.667000000000002</v>
      </c>
      <c r="U823">
        <v>71.429000000000002</v>
      </c>
      <c r="V823">
        <f t="shared" si="36"/>
        <v>54.499000000000002</v>
      </c>
      <c r="W823">
        <f t="shared" si="37"/>
        <v>55.803750000000001</v>
      </c>
      <c r="X823">
        <f t="shared" si="38"/>
        <v>56.555500000000002</v>
      </c>
      <c r="Y823">
        <v>13</v>
      </c>
      <c r="Z823" s="2" t="s">
        <v>26</v>
      </c>
    </row>
    <row r="824" spans="1:26" x14ac:dyDescent="0.25">
      <c r="A824">
        <v>1195</v>
      </c>
      <c r="B824">
        <v>880</v>
      </c>
      <c r="C824" t="s">
        <v>22</v>
      </c>
      <c r="D824" t="s">
        <v>23</v>
      </c>
      <c r="E824" t="s">
        <v>30</v>
      </c>
      <c r="F824" t="s">
        <v>725</v>
      </c>
      <c r="G824" t="str">
        <f>VLOOKUP(F824,Hospitals!E:H,4,FALSE)</f>
        <v>12.99864 , 80.22445</v>
      </c>
      <c r="H824" s="1">
        <v>45908</v>
      </c>
      <c r="I824" s="1">
        <v>45909</v>
      </c>
      <c r="J824">
        <v>89.171999999999997</v>
      </c>
      <c r="K824">
        <v>86.981999999999999</v>
      </c>
      <c r="L824">
        <v>85.227000000000004</v>
      </c>
      <c r="M824">
        <v>29.411999999999999</v>
      </c>
      <c r="N824">
        <v>34.783000000000001</v>
      </c>
      <c r="O824">
        <v>34.783000000000001</v>
      </c>
      <c r="P824">
        <v>29.411999999999999</v>
      </c>
      <c r="Q824">
        <v>34.783000000000001</v>
      </c>
      <c r="R824">
        <v>34.783000000000001</v>
      </c>
      <c r="S824">
        <v>70</v>
      </c>
      <c r="T824">
        <v>66.667000000000002</v>
      </c>
      <c r="U824">
        <v>71.429000000000002</v>
      </c>
      <c r="V824">
        <f t="shared" si="36"/>
        <v>54.499000000000002</v>
      </c>
      <c r="W824">
        <f t="shared" si="37"/>
        <v>55.803750000000001</v>
      </c>
      <c r="X824">
        <f t="shared" si="38"/>
        <v>56.555500000000002</v>
      </c>
      <c r="Y824">
        <v>13</v>
      </c>
      <c r="Z824" s="2" t="s">
        <v>26</v>
      </c>
    </row>
    <row r="825" spans="1:26" x14ac:dyDescent="0.25">
      <c r="A825">
        <v>1196</v>
      </c>
      <c r="B825">
        <v>880</v>
      </c>
      <c r="C825" t="s">
        <v>22</v>
      </c>
      <c r="D825" t="s">
        <v>23</v>
      </c>
      <c r="E825" t="s">
        <v>30</v>
      </c>
      <c r="F825" t="s">
        <v>725</v>
      </c>
      <c r="G825" t="str">
        <f>VLOOKUP(F825,Hospitals!E:H,4,FALSE)</f>
        <v>12.99864 , 80.22445</v>
      </c>
      <c r="H825" s="1">
        <v>45909</v>
      </c>
      <c r="I825" s="1">
        <v>45909</v>
      </c>
      <c r="J825">
        <v>89.171999999999997</v>
      </c>
      <c r="K825">
        <v>86.981999999999999</v>
      </c>
      <c r="L825">
        <v>85.227000000000004</v>
      </c>
      <c r="M825">
        <v>29.411999999999999</v>
      </c>
      <c r="N825">
        <v>30.434999999999999</v>
      </c>
      <c r="O825">
        <v>30.434999999999999</v>
      </c>
      <c r="P825">
        <v>29.411999999999999</v>
      </c>
      <c r="Q825">
        <v>30.434999999999999</v>
      </c>
      <c r="R825">
        <v>30.434999999999999</v>
      </c>
      <c r="S825">
        <v>70</v>
      </c>
      <c r="T825">
        <v>66.667000000000002</v>
      </c>
      <c r="U825">
        <v>71.429000000000002</v>
      </c>
      <c r="V825">
        <f t="shared" si="36"/>
        <v>54.499000000000002</v>
      </c>
      <c r="W825">
        <f t="shared" si="37"/>
        <v>53.629750000000001</v>
      </c>
      <c r="X825">
        <f t="shared" si="38"/>
        <v>54.381500000000003</v>
      </c>
      <c r="Y825">
        <v>13</v>
      </c>
      <c r="Z825" s="2" t="s">
        <v>26</v>
      </c>
    </row>
    <row r="826" spans="1:26" x14ac:dyDescent="0.25">
      <c r="A826">
        <v>725</v>
      </c>
      <c r="B826">
        <v>881</v>
      </c>
      <c r="C826" t="s">
        <v>22</v>
      </c>
      <c r="D826" t="s">
        <v>453</v>
      </c>
      <c r="E826" t="s">
        <v>30</v>
      </c>
      <c r="F826" t="s">
        <v>726</v>
      </c>
      <c r="G826" t="e">
        <f>VLOOKUP(F826,Hospitals!E:H,4,FALSE)</f>
        <v>#N/A</v>
      </c>
      <c r="H826" s="1">
        <v>45426</v>
      </c>
      <c r="I826" s="1">
        <v>45426</v>
      </c>
      <c r="J826">
        <v>72.611000000000004</v>
      </c>
      <c r="K826">
        <v>72.188999999999993</v>
      </c>
      <c r="L826">
        <v>69.885999999999996</v>
      </c>
      <c r="M826">
        <v>70.587999999999994</v>
      </c>
      <c r="N826">
        <v>65.216999999999999</v>
      </c>
      <c r="O826">
        <v>65.216999999999999</v>
      </c>
      <c r="P826">
        <v>70.587999999999994</v>
      </c>
      <c r="Q826">
        <v>65.216999999999999</v>
      </c>
      <c r="R826">
        <v>65.216999999999999</v>
      </c>
      <c r="S826">
        <v>10</v>
      </c>
      <c r="T826">
        <v>8.3330000000000002</v>
      </c>
      <c r="U826">
        <v>0</v>
      </c>
      <c r="V826">
        <f t="shared" si="36"/>
        <v>55.946750000000002</v>
      </c>
      <c r="W826">
        <f t="shared" si="37"/>
        <v>52.738999999999997</v>
      </c>
      <c r="X826">
        <f t="shared" si="38"/>
        <v>50.08</v>
      </c>
      <c r="Y826">
        <v>13</v>
      </c>
      <c r="Z826" s="2" t="s">
        <v>455</v>
      </c>
    </row>
    <row r="827" spans="1:26" x14ac:dyDescent="0.25">
      <c r="A827">
        <v>741</v>
      </c>
      <c r="B827">
        <v>882</v>
      </c>
      <c r="C827" t="s">
        <v>22</v>
      </c>
      <c r="D827" t="s">
        <v>453</v>
      </c>
      <c r="E827" t="s">
        <v>30</v>
      </c>
      <c r="F827" t="s">
        <v>727</v>
      </c>
      <c r="G827" t="str">
        <f>VLOOKUP(F827,Hospitals!E:H,4,FALSE)</f>
        <v>29.96507 , 74.70042</v>
      </c>
      <c r="H827" s="1">
        <v>45428</v>
      </c>
      <c r="I827" s="1">
        <v>45428</v>
      </c>
      <c r="J827">
        <v>86.623999999999995</v>
      </c>
      <c r="K827">
        <v>82.84</v>
      </c>
      <c r="L827">
        <v>80.114000000000004</v>
      </c>
      <c r="M827">
        <v>35.293999999999997</v>
      </c>
      <c r="N827">
        <v>39.130000000000003</v>
      </c>
      <c r="O827">
        <v>39.130000000000003</v>
      </c>
      <c r="P827">
        <v>35.293999999999997</v>
      </c>
      <c r="Q827">
        <v>39.130000000000003</v>
      </c>
      <c r="R827">
        <v>39.130000000000003</v>
      </c>
      <c r="S827">
        <v>0</v>
      </c>
      <c r="T827">
        <v>0</v>
      </c>
      <c r="U827">
        <v>0</v>
      </c>
      <c r="V827">
        <f t="shared" si="36"/>
        <v>39.302999999999997</v>
      </c>
      <c r="W827">
        <f t="shared" si="37"/>
        <v>40.274999999999999</v>
      </c>
      <c r="X827">
        <f t="shared" si="38"/>
        <v>39.593499999999999</v>
      </c>
      <c r="Y827">
        <v>13</v>
      </c>
      <c r="Z827" s="2" t="s">
        <v>455</v>
      </c>
    </row>
    <row r="828" spans="1:26" x14ac:dyDescent="0.25">
      <c r="A828">
        <v>865</v>
      </c>
      <c r="B828">
        <v>883</v>
      </c>
      <c r="C828" t="s">
        <v>22</v>
      </c>
      <c r="D828" t="s">
        <v>298</v>
      </c>
      <c r="E828" t="s">
        <v>24</v>
      </c>
      <c r="F828" t="s">
        <v>728</v>
      </c>
      <c r="G828" t="e">
        <f>VLOOKUP(F828,Hospitals!E:H,4,FALSE)</f>
        <v>#N/A</v>
      </c>
      <c r="H828" s="1">
        <v>45586</v>
      </c>
      <c r="I828" t="s">
        <v>35</v>
      </c>
      <c r="J828">
        <v>46.497</v>
      </c>
      <c r="K828">
        <v>43.786999999999999</v>
      </c>
      <c r="L828">
        <v>42.045000000000002</v>
      </c>
      <c r="M828">
        <v>17.646999999999998</v>
      </c>
      <c r="N828">
        <v>13.042999999999999</v>
      </c>
      <c r="O828">
        <v>13.042999999999999</v>
      </c>
      <c r="P828">
        <v>17.646999999999998</v>
      </c>
      <c r="Q828">
        <v>13.042999999999999</v>
      </c>
      <c r="R828">
        <v>13.042999999999999</v>
      </c>
      <c r="S828">
        <v>0</v>
      </c>
      <c r="T828">
        <v>0</v>
      </c>
      <c r="U828">
        <v>0</v>
      </c>
      <c r="V828">
        <f t="shared" si="36"/>
        <v>20.447749999999999</v>
      </c>
      <c r="W828">
        <f t="shared" si="37"/>
        <v>17.468249999999998</v>
      </c>
      <c r="X828">
        <f t="shared" si="38"/>
        <v>17.03275</v>
      </c>
      <c r="Y828">
        <v>13</v>
      </c>
      <c r="Z828" s="2" t="s">
        <v>300</v>
      </c>
    </row>
    <row r="829" spans="1:26" x14ac:dyDescent="0.25">
      <c r="A829">
        <v>929</v>
      </c>
      <c r="B829">
        <v>884</v>
      </c>
      <c r="C829" t="s">
        <v>22</v>
      </c>
      <c r="D829" t="s">
        <v>453</v>
      </c>
      <c r="E829" t="s">
        <v>30</v>
      </c>
      <c r="F829" t="s">
        <v>729</v>
      </c>
      <c r="G829" t="str">
        <f>VLOOKUP(F829,Hospitals!E:H,4,FALSE)</f>
        <v>29.54461 , 75.02606</v>
      </c>
      <c r="H829" s="1">
        <v>45499</v>
      </c>
      <c r="I829" s="1">
        <v>45499</v>
      </c>
      <c r="J829">
        <v>35.031999999999996</v>
      </c>
      <c r="K829">
        <v>35.503</v>
      </c>
      <c r="L829">
        <v>34.658999999999999</v>
      </c>
      <c r="M829">
        <v>35.293999999999997</v>
      </c>
      <c r="N829">
        <v>43.478000000000002</v>
      </c>
      <c r="O829">
        <v>43.478000000000002</v>
      </c>
      <c r="P829">
        <v>35.293999999999997</v>
      </c>
      <c r="Q829">
        <v>43.478000000000002</v>
      </c>
      <c r="R829">
        <v>43.478000000000002</v>
      </c>
      <c r="S829">
        <v>0</v>
      </c>
      <c r="T829">
        <v>0</v>
      </c>
      <c r="U829">
        <v>0</v>
      </c>
      <c r="V829">
        <f t="shared" si="36"/>
        <v>26.404999999999998</v>
      </c>
      <c r="W829">
        <f t="shared" si="37"/>
        <v>30.614750000000001</v>
      </c>
      <c r="X829">
        <f t="shared" si="38"/>
        <v>30.403750000000002</v>
      </c>
      <c r="Y829">
        <v>13</v>
      </c>
      <c r="Z829" s="2" t="s">
        <v>455</v>
      </c>
    </row>
    <row r="830" spans="1:26" x14ac:dyDescent="0.25">
      <c r="A830">
        <v>724</v>
      </c>
      <c r="B830">
        <v>885</v>
      </c>
      <c r="C830" t="s">
        <v>22</v>
      </c>
      <c r="D830" t="s">
        <v>453</v>
      </c>
      <c r="E830" t="s">
        <v>30</v>
      </c>
      <c r="F830" t="s">
        <v>730</v>
      </c>
      <c r="G830" t="str">
        <f>VLOOKUP(F830,Hospitals!E:H,4,FALSE)</f>
        <v>29.54955 , 75.03973</v>
      </c>
      <c r="H830" s="1">
        <v>45428</v>
      </c>
      <c r="I830" s="1">
        <v>45428</v>
      </c>
      <c r="J830">
        <v>66.242000000000004</v>
      </c>
      <c r="K830">
        <v>63.314</v>
      </c>
      <c r="L830">
        <v>61.363999999999997</v>
      </c>
      <c r="M830">
        <v>41.176000000000002</v>
      </c>
      <c r="N830">
        <v>43.478000000000002</v>
      </c>
      <c r="O830">
        <v>43.478000000000002</v>
      </c>
      <c r="P830">
        <v>41.176000000000002</v>
      </c>
      <c r="Q830">
        <v>43.478000000000002</v>
      </c>
      <c r="R830">
        <v>43.478000000000002</v>
      </c>
      <c r="S830">
        <v>20</v>
      </c>
      <c r="T830">
        <v>8.3330000000000002</v>
      </c>
      <c r="U830">
        <v>0</v>
      </c>
      <c r="V830">
        <f t="shared" si="36"/>
        <v>42.148499999999999</v>
      </c>
      <c r="W830">
        <f t="shared" si="37"/>
        <v>39.650750000000002</v>
      </c>
      <c r="X830">
        <f t="shared" si="38"/>
        <v>37.08</v>
      </c>
      <c r="Y830">
        <v>13</v>
      </c>
      <c r="Z830" s="2" t="s">
        <v>455</v>
      </c>
    </row>
    <row r="831" spans="1:26" x14ac:dyDescent="0.25">
      <c r="A831">
        <v>739</v>
      </c>
      <c r="B831">
        <v>886</v>
      </c>
      <c r="C831" t="s">
        <v>22</v>
      </c>
      <c r="D831" t="s">
        <v>453</v>
      </c>
      <c r="E831" t="s">
        <v>30</v>
      </c>
      <c r="F831" t="s">
        <v>731</v>
      </c>
      <c r="G831" t="str">
        <f>VLOOKUP(F831,Hospitals!E:H,4,FALSE)</f>
        <v>29.53654 , 75.02363</v>
      </c>
      <c r="H831" s="1">
        <v>45427</v>
      </c>
      <c r="I831" s="1">
        <v>45427</v>
      </c>
      <c r="J831">
        <v>85.35</v>
      </c>
      <c r="K831">
        <v>81.656999999999996</v>
      </c>
      <c r="L831">
        <v>78.409000000000006</v>
      </c>
      <c r="M831">
        <v>52.941000000000003</v>
      </c>
      <c r="N831">
        <v>52.173999999999999</v>
      </c>
      <c r="O831">
        <v>52.173999999999999</v>
      </c>
      <c r="P831">
        <v>52.941000000000003</v>
      </c>
      <c r="Q831">
        <v>52.173999999999999</v>
      </c>
      <c r="R831">
        <v>52.173999999999999</v>
      </c>
      <c r="S831">
        <v>0</v>
      </c>
      <c r="T831">
        <v>0</v>
      </c>
      <c r="U831">
        <v>0</v>
      </c>
      <c r="V831">
        <f t="shared" si="36"/>
        <v>47.808</v>
      </c>
      <c r="W831">
        <f t="shared" si="37"/>
        <v>46.501249999999999</v>
      </c>
      <c r="X831">
        <f t="shared" si="38"/>
        <v>45.689250000000001</v>
      </c>
      <c r="Y831">
        <v>13</v>
      </c>
      <c r="Z831" s="2" t="s">
        <v>455</v>
      </c>
    </row>
    <row r="832" spans="1:26" x14ac:dyDescent="0.25">
      <c r="A832">
        <v>787</v>
      </c>
      <c r="B832">
        <v>887</v>
      </c>
      <c r="C832" t="s">
        <v>22</v>
      </c>
      <c r="D832" t="s">
        <v>298</v>
      </c>
      <c r="E832" t="s">
        <v>30</v>
      </c>
      <c r="F832" t="s">
        <v>732</v>
      </c>
      <c r="G832" t="e">
        <f>VLOOKUP(F832,Hospitals!E:H,4,FALSE)</f>
        <v>#N/A</v>
      </c>
      <c r="H832" s="1">
        <v>45462</v>
      </c>
      <c r="I832" s="1">
        <v>45572</v>
      </c>
      <c r="J832">
        <v>74.522000000000006</v>
      </c>
      <c r="K832">
        <v>72.781000000000006</v>
      </c>
      <c r="L832">
        <v>71.022999999999996</v>
      </c>
      <c r="M832">
        <v>52.941000000000003</v>
      </c>
      <c r="N832">
        <v>56.521999999999998</v>
      </c>
      <c r="O832">
        <v>56.521999999999998</v>
      </c>
      <c r="P832">
        <v>52.941000000000003</v>
      </c>
      <c r="Q832">
        <v>56.521999999999998</v>
      </c>
      <c r="R832">
        <v>56.521999999999998</v>
      </c>
      <c r="S832">
        <v>0</v>
      </c>
      <c r="T832">
        <v>0</v>
      </c>
      <c r="U832">
        <v>0</v>
      </c>
      <c r="V832">
        <f t="shared" si="36"/>
        <v>45.100999999999999</v>
      </c>
      <c r="W832">
        <f t="shared" si="37"/>
        <v>46.456249999999997</v>
      </c>
      <c r="X832">
        <f t="shared" si="38"/>
        <v>46.016749999999995</v>
      </c>
      <c r="Y832">
        <v>13</v>
      </c>
      <c r="Z832" s="2" t="s">
        <v>300</v>
      </c>
    </row>
    <row r="833" spans="1:26" x14ac:dyDescent="0.25">
      <c r="A833">
        <v>795</v>
      </c>
      <c r="B833">
        <v>889</v>
      </c>
      <c r="C833" t="s">
        <v>22</v>
      </c>
      <c r="D833" t="s">
        <v>298</v>
      </c>
      <c r="E833" t="s">
        <v>30</v>
      </c>
      <c r="F833" t="s">
        <v>733</v>
      </c>
      <c r="G833" t="str">
        <f>VLOOKUP(F833,Hospitals!E:H,4,FALSE)</f>
        <v>30.90096 , 75.85728</v>
      </c>
      <c r="H833" s="1">
        <v>45565</v>
      </c>
      <c r="I833" s="1">
        <v>45565</v>
      </c>
      <c r="J833">
        <v>89.171999999999997</v>
      </c>
      <c r="K833">
        <v>88.757000000000005</v>
      </c>
      <c r="L833">
        <v>86.932000000000002</v>
      </c>
      <c r="M833">
        <v>70.587999999999994</v>
      </c>
      <c r="N833">
        <v>78.260999999999996</v>
      </c>
      <c r="O833">
        <v>78.260999999999996</v>
      </c>
      <c r="P833">
        <v>70.587999999999994</v>
      </c>
      <c r="Q833">
        <v>78.260999999999996</v>
      </c>
      <c r="R833">
        <v>78.260999999999996</v>
      </c>
      <c r="S833">
        <v>20</v>
      </c>
      <c r="T833">
        <v>25</v>
      </c>
      <c r="U833">
        <v>14.286</v>
      </c>
      <c r="V833">
        <f t="shared" si="36"/>
        <v>62.586999999999996</v>
      </c>
      <c r="W833">
        <f t="shared" si="37"/>
        <v>67.569749999999999</v>
      </c>
      <c r="X833">
        <f t="shared" si="38"/>
        <v>64.434999999999988</v>
      </c>
      <c r="Y833">
        <v>13</v>
      </c>
      <c r="Z833" s="2" t="s">
        <v>300</v>
      </c>
    </row>
    <row r="834" spans="1:26" x14ac:dyDescent="0.25">
      <c r="A834">
        <v>789</v>
      </c>
      <c r="B834">
        <v>890</v>
      </c>
      <c r="C834" t="s">
        <v>22</v>
      </c>
      <c r="D834" t="s">
        <v>298</v>
      </c>
      <c r="E834" t="s">
        <v>30</v>
      </c>
      <c r="F834" t="s">
        <v>734</v>
      </c>
      <c r="G834" t="e">
        <f>VLOOKUP(F834,Hospitals!E:H,4,FALSE)</f>
        <v>#N/A</v>
      </c>
      <c r="H834" s="1">
        <v>45455</v>
      </c>
      <c r="I834" t="s">
        <v>35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f t="shared" si="36"/>
        <v>0</v>
      </c>
      <c r="W834">
        <f t="shared" si="37"/>
        <v>0</v>
      </c>
      <c r="X834">
        <f t="shared" si="38"/>
        <v>0</v>
      </c>
      <c r="Y834">
        <v>13</v>
      </c>
      <c r="Z834" s="2" t="s">
        <v>300</v>
      </c>
    </row>
    <row r="835" spans="1:26" x14ac:dyDescent="0.25">
      <c r="A835">
        <v>906</v>
      </c>
      <c r="B835">
        <v>891</v>
      </c>
      <c r="C835" t="s">
        <v>22</v>
      </c>
      <c r="D835" t="s">
        <v>298</v>
      </c>
      <c r="E835" t="s">
        <v>30</v>
      </c>
      <c r="F835" t="s">
        <v>735</v>
      </c>
      <c r="G835" t="e">
        <f>VLOOKUP(F835,Hospitals!E:H,4,FALSE)</f>
        <v>#N/A</v>
      </c>
      <c r="H835" s="1">
        <v>45573</v>
      </c>
      <c r="I835" s="1">
        <v>45573</v>
      </c>
      <c r="J835">
        <v>95.540999999999997</v>
      </c>
      <c r="K835">
        <v>94.082999999999998</v>
      </c>
      <c r="L835">
        <v>92.614000000000004</v>
      </c>
      <c r="M835">
        <v>82.352999999999994</v>
      </c>
      <c r="N835">
        <v>82.608999999999995</v>
      </c>
      <c r="O835">
        <v>82.608999999999995</v>
      </c>
      <c r="P835">
        <v>82.352999999999994</v>
      </c>
      <c r="Q835">
        <v>82.608999999999995</v>
      </c>
      <c r="R835">
        <v>82.608999999999995</v>
      </c>
      <c r="S835">
        <v>10</v>
      </c>
      <c r="T835">
        <v>8.3330000000000002</v>
      </c>
      <c r="U835">
        <v>0</v>
      </c>
      <c r="V835">
        <f t="shared" ref="V835:V898" si="39">AVERAGE(J835,M835,P835,S835)</f>
        <v>67.561750000000004</v>
      </c>
      <c r="W835">
        <f t="shared" ref="W835:W898" si="40">AVERAGE(K835,N835,Q835,T835)</f>
        <v>66.908500000000004</v>
      </c>
      <c r="X835">
        <f t="shared" ref="X835:X898" si="41">AVERAGE(L835,O835,R835,U835)</f>
        <v>64.457999999999998</v>
      </c>
      <c r="Y835">
        <v>13</v>
      </c>
      <c r="Z835" s="2" t="s">
        <v>300</v>
      </c>
    </row>
    <row r="836" spans="1:26" x14ac:dyDescent="0.25">
      <c r="A836">
        <v>1079</v>
      </c>
      <c r="B836">
        <v>891</v>
      </c>
      <c r="C836" t="s">
        <v>22</v>
      </c>
      <c r="D836" t="s">
        <v>298</v>
      </c>
      <c r="E836" t="s">
        <v>30</v>
      </c>
      <c r="F836" t="s">
        <v>735</v>
      </c>
      <c r="G836" t="e">
        <f>VLOOKUP(F836,Hospitals!E:H,4,FALSE)</f>
        <v>#N/A</v>
      </c>
      <c r="H836" s="1">
        <v>45573</v>
      </c>
      <c r="I836" s="1">
        <v>45576</v>
      </c>
      <c r="J836">
        <v>95.540999999999997</v>
      </c>
      <c r="K836">
        <v>94.082999999999998</v>
      </c>
      <c r="L836">
        <v>92.614000000000004</v>
      </c>
      <c r="M836">
        <v>82.352999999999994</v>
      </c>
      <c r="N836">
        <v>82.608999999999995</v>
      </c>
      <c r="O836">
        <v>82.608999999999995</v>
      </c>
      <c r="P836">
        <v>82.352999999999994</v>
      </c>
      <c r="Q836">
        <v>82.608999999999995</v>
      </c>
      <c r="R836">
        <v>82.608999999999995</v>
      </c>
      <c r="S836">
        <v>10</v>
      </c>
      <c r="T836">
        <v>8.3330000000000002</v>
      </c>
      <c r="U836">
        <v>0</v>
      </c>
      <c r="V836">
        <f t="shared" si="39"/>
        <v>67.561750000000004</v>
      </c>
      <c r="W836">
        <f t="shared" si="40"/>
        <v>66.908500000000004</v>
      </c>
      <c r="X836">
        <f t="shared" si="41"/>
        <v>64.457999999999998</v>
      </c>
      <c r="Y836">
        <v>13</v>
      </c>
      <c r="Z836" s="2" t="s">
        <v>300</v>
      </c>
    </row>
    <row r="837" spans="1:26" x14ac:dyDescent="0.25">
      <c r="A837">
        <v>856</v>
      </c>
      <c r="B837">
        <v>893</v>
      </c>
      <c r="C837" t="s">
        <v>22</v>
      </c>
      <c r="D837" t="s">
        <v>453</v>
      </c>
      <c r="E837" t="s">
        <v>30</v>
      </c>
      <c r="F837" t="s">
        <v>736</v>
      </c>
      <c r="G837" t="e">
        <f>VLOOKUP(F837,Hospitals!E:H,4,FALSE)</f>
        <v>#N/A</v>
      </c>
      <c r="H837" s="1">
        <v>45470</v>
      </c>
      <c r="I837" t="s">
        <v>35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f t="shared" si="39"/>
        <v>0</v>
      </c>
      <c r="W837">
        <f t="shared" si="40"/>
        <v>0</v>
      </c>
      <c r="X837">
        <f t="shared" si="41"/>
        <v>0</v>
      </c>
      <c r="Y837">
        <v>13</v>
      </c>
      <c r="Z837" s="2" t="s">
        <v>455</v>
      </c>
    </row>
    <row r="838" spans="1:26" x14ac:dyDescent="0.25">
      <c r="A838">
        <v>1036</v>
      </c>
      <c r="B838">
        <v>894</v>
      </c>
      <c r="C838" t="s">
        <v>22</v>
      </c>
      <c r="D838" t="s">
        <v>298</v>
      </c>
      <c r="E838" t="s">
        <v>30</v>
      </c>
      <c r="F838" t="s">
        <v>737</v>
      </c>
      <c r="G838" t="e">
        <f>VLOOKUP(F838,Hospitals!E:H,4,FALSE)</f>
        <v>#N/A</v>
      </c>
      <c r="H838" s="1">
        <v>45553</v>
      </c>
      <c r="I838" t="s">
        <v>35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f t="shared" si="39"/>
        <v>0</v>
      </c>
      <c r="W838">
        <f t="shared" si="40"/>
        <v>0</v>
      </c>
      <c r="X838">
        <f t="shared" si="41"/>
        <v>0</v>
      </c>
      <c r="Y838">
        <v>13</v>
      </c>
      <c r="Z838" s="2" t="s">
        <v>300</v>
      </c>
    </row>
    <row r="839" spans="1:26" x14ac:dyDescent="0.25">
      <c r="A839">
        <v>797</v>
      </c>
      <c r="B839">
        <v>895</v>
      </c>
      <c r="C839" t="s">
        <v>22</v>
      </c>
      <c r="D839" t="s">
        <v>298</v>
      </c>
      <c r="E839" t="s">
        <v>30</v>
      </c>
      <c r="F839" t="s">
        <v>738</v>
      </c>
      <c r="G839" t="str">
        <f>VLOOKUP(F839,Hospitals!E:H,4,FALSE)</f>
        <v>29.9624 , 76.82451</v>
      </c>
      <c r="H839" s="1">
        <v>45572</v>
      </c>
      <c r="I839" s="1">
        <v>45572</v>
      </c>
      <c r="J839">
        <v>75.796000000000006</v>
      </c>
      <c r="K839">
        <v>74.555999999999997</v>
      </c>
      <c r="L839">
        <v>72.727000000000004</v>
      </c>
      <c r="M839">
        <v>35.293999999999997</v>
      </c>
      <c r="N839">
        <v>34.783000000000001</v>
      </c>
      <c r="O839">
        <v>34.783000000000001</v>
      </c>
      <c r="P839">
        <v>35.293999999999997</v>
      </c>
      <c r="Q839">
        <v>34.783000000000001</v>
      </c>
      <c r="R839">
        <v>34.783000000000001</v>
      </c>
      <c r="S839">
        <v>30</v>
      </c>
      <c r="T839">
        <v>25</v>
      </c>
      <c r="U839">
        <v>0</v>
      </c>
      <c r="V839">
        <f t="shared" si="39"/>
        <v>44.096000000000004</v>
      </c>
      <c r="W839">
        <f t="shared" si="40"/>
        <v>42.280500000000004</v>
      </c>
      <c r="X839">
        <f t="shared" si="41"/>
        <v>35.573250000000002</v>
      </c>
      <c r="Y839">
        <v>13</v>
      </c>
      <c r="Z839" s="2" t="s">
        <v>300</v>
      </c>
    </row>
    <row r="840" spans="1:26" x14ac:dyDescent="0.25">
      <c r="A840">
        <v>807</v>
      </c>
      <c r="B840">
        <v>896</v>
      </c>
      <c r="C840" t="s">
        <v>22</v>
      </c>
      <c r="D840" t="s">
        <v>23</v>
      </c>
      <c r="E840" t="s">
        <v>30</v>
      </c>
      <c r="F840" t="s">
        <v>739</v>
      </c>
      <c r="G840" t="str">
        <f>VLOOKUP(F840,Hospitals!E:H,4,FALSE)</f>
        <v>30.69379 , 76.75904</v>
      </c>
      <c r="H840" s="1">
        <v>45464</v>
      </c>
      <c r="I840" s="1">
        <v>45464</v>
      </c>
      <c r="J840">
        <v>76.433000000000007</v>
      </c>
      <c r="K840">
        <v>75.739999999999995</v>
      </c>
      <c r="L840">
        <v>73.295000000000002</v>
      </c>
      <c r="M840">
        <v>70.587999999999994</v>
      </c>
      <c r="N840">
        <v>65.216999999999999</v>
      </c>
      <c r="O840">
        <v>65.216999999999999</v>
      </c>
      <c r="P840">
        <v>70.587999999999994</v>
      </c>
      <c r="Q840">
        <v>65.216999999999999</v>
      </c>
      <c r="R840">
        <v>65.216999999999999</v>
      </c>
      <c r="S840">
        <v>30</v>
      </c>
      <c r="T840">
        <v>8.3330000000000002</v>
      </c>
      <c r="U840">
        <v>0</v>
      </c>
      <c r="V840">
        <f t="shared" si="39"/>
        <v>61.902250000000002</v>
      </c>
      <c r="W840">
        <f t="shared" si="40"/>
        <v>53.626749999999994</v>
      </c>
      <c r="X840">
        <f t="shared" si="41"/>
        <v>50.932249999999996</v>
      </c>
      <c r="Y840">
        <v>13</v>
      </c>
      <c r="Z840" s="2" t="s">
        <v>26</v>
      </c>
    </row>
    <row r="841" spans="1:26" x14ac:dyDescent="0.25">
      <c r="A841">
        <v>828</v>
      </c>
      <c r="B841">
        <v>897</v>
      </c>
      <c r="C841" t="s">
        <v>22</v>
      </c>
      <c r="D841" t="s">
        <v>23</v>
      </c>
      <c r="E841" t="s">
        <v>30</v>
      </c>
      <c r="F841" t="s">
        <v>740</v>
      </c>
      <c r="G841" t="str">
        <f>VLOOKUP(F841,Hospitals!E:H,4,FALSE)</f>
        <v>30.33728 , 76.86793</v>
      </c>
      <c r="H841" s="1">
        <v>45465</v>
      </c>
      <c r="I841" s="1">
        <v>45465</v>
      </c>
      <c r="J841">
        <v>85.35</v>
      </c>
      <c r="K841">
        <v>82.84</v>
      </c>
      <c r="L841">
        <v>79.545000000000002</v>
      </c>
      <c r="M841">
        <v>70.587999999999994</v>
      </c>
      <c r="N841">
        <v>69.564999999999998</v>
      </c>
      <c r="O841">
        <v>69.564999999999998</v>
      </c>
      <c r="P841">
        <v>70.587999999999994</v>
      </c>
      <c r="Q841">
        <v>69.564999999999998</v>
      </c>
      <c r="R841">
        <v>69.564999999999998</v>
      </c>
      <c r="S841">
        <v>0</v>
      </c>
      <c r="T841">
        <v>0</v>
      </c>
      <c r="U841">
        <v>0</v>
      </c>
      <c r="V841">
        <f t="shared" si="39"/>
        <v>56.631499999999996</v>
      </c>
      <c r="W841">
        <f t="shared" si="40"/>
        <v>55.4925</v>
      </c>
      <c r="X841">
        <f t="shared" si="41"/>
        <v>54.668750000000003</v>
      </c>
      <c r="Y841">
        <v>13</v>
      </c>
      <c r="Z841" s="2" t="s">
        <v>26</v>
      </c>
    </row>
    <row r="842" spans="1:26" x14ac:dyDescent="0.25">
      <c r="A842">
        <v>844</v>
      </c>
      <c r="B842">
        <v>899</v>
      </c>
      <c r="C842" t="s">
        <v>22</v>
      </c>
      <c r="D842" t="s">
        <v>42</v>
      </c>
      <c r="E842" t="s">
        <v>30</v>
      </c>
      <c r="F842" t="s">
        <v>741</v>
      </c>
      <c r="G842" t="e">
        <f>VLOOKUP(F842,Hospitals!E:H,4,FALSE)</f>
        <v>#N/A</v>
      </c>
      <c r="H842" s="1">
        <v>45647</v>
      </c>
      <c r="I842" s="1">
        <v>45647</v>
      </c>
      <c r="J842">
        <v>90.445999999999998</v>
      </c>
      <c r="K842">
        <v>89.349000000000004</v>
      </c>
      <c r="L842">
        <v>86.932000000000002</v>
      </c>
      <c r="M842">
        <v>100</v>
      </c>
      <c r="N842">
        <v>91.304000000000002</v>
      </c>
      <c r="O842">
        <v>91.304000000000002</v>
      </c>
      <c r="P842">
        <v>100</v>
      </c>
      <c r="Q842">
        <v>91.304000000000002</v>
      </c>
      <c r="R842">
        <v>91.304000000000002</v>
      </c>
      <c r="S842">
        <v>40</v>
      </c>
      <c r="T842">
        <v>25</v>
      </c>
      <c r="U842">
        <v>21.428999999999998</v>
      </c>
      <c r="V842">
        <f t="shared" si="39"/>
        <v>82.611500000000007</v>
      </c>
      <c r="W842">
        <f t="shared" si="40"/>
        <v>74.239249999999998</v>
      </c>
      <c r="X842">
        <f t="shared" si="41"/>
        <v>72.742249999999984</v>
      </c>
      <c r="Y842">
        <v>13</v>
      </c>
      <c r="Z842" s="2" t="s">
        <v>44</v>
      </c>
    </row>
    <row r="843" spans="1:26" x14ac:dyDescent="0.25">
      <c r="A843">
        <v>912</v>
      </c>
      <c r="B843">
        <v>9</v>
      </c>
      <c r="C843" t="s">
        <v>22</v>
      </c>
      <c r="D843" t="s">
        <v>23</v>
      </c>
      <c r="E843" t="s">
        <v>27</v>
      </c>
      <c r="F843" t="s">
        <v>742</v>
      </c>
      <c r="G843" t="str">
        <f>VLOOKUP(F843,Hospitals!E:H,4,FALSE)</f>
        <v>30.33212 , 76.94768</v>
      </c>
      <c r="H843" s="1">
        <v>45495</v>
      </c>
      <c r="I843" s="1">
        <v>45495</v>
      </c>
      <c r="J843">
        <v>36.305999999999997</v>
      </c>
      <c r="K843">
        <v>34.32</v>
      </c>
      <c r="L843">
        <v>32.954999999999998</v>
      </c>
      <c r="M843">
        <v>29.411999999999999</v>
      </c>
      <c r="N843">
        <v>21.739000000000001</v>
      </c>
      <c r="O843">
        <v>21.739000000000001</v>
      </c>
      <c r="P843">
        <v>29.411999999999999</v>
      </c>
      <c r="Q843">
        <v>21.739000000000001</v>
      </c>
      <c r="R843">
        <v>21.739000000000001</v>
      </c>
      <c r="S843">
        <v>0</v>
      </c>
      <c r="T843">
        <v>0</v>
      </c>
      <c r="U843">
        <v>0</v>
      </c>
      <c r="V843">
        <f t="shared" si="39"/>
        <v>23.782499999999999</v>
      </c>
      <c r="W843">
        <f t="shared" si="40"/>
        <v>19.4495</v>
      </c>
      <c r="X843">
        <f t="shared" si="41"/>
        <v>19.108250000000002</v>
      </c>
      <c r="Y843">
        <v>13</v>
      </c>
      <c r="Z843" s="2" t="s">
        <v>26</v>
      </c>
    </row>
    <row r="844" spans="1:26" x14ac:dyDescent="0.25">
      <c r="A844">
        <v>1069</v>
      </c>
      <c r="B844">
        <v>900</v>
      </c>
      <c r="C844" t="s">
        <v>22</v>
      </c>
      <c r="D844" t="s">
        <v>166</v>
      </c>
      <c r="E844" t="s">
        <v>27</v>
      </c>
      <c r="F844" t="s">
        <v>743</v>
      </c>
      <c r="G844" t="str">
        <f>VLOOKUP(F844,Hospitals!E:H,4,FALSE)</f>
        <v>28.47647 , 76.6517</v>
      </c>
      <c r="H844" s="1">
        <v>45562</v>
      </c>
      <c r="I844" t="s">
        <v>35</v>
      </c>
      <c r="J844">
        <v>7.6429999999999998</v>
      </c>
      <c r="K844">
        <v>7.101</v>
      </c>
      <c r="L844">
        <v>6.8179999999999996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10</v>
      </c>
      <c r="T844">
        <v>8.3330000000000002</v>
      </c>
      <c r="U844">
        <v>0</v>
      </c>
      <c r="V844">
        <f t="shared" si="39"/>
        <v>4.4107500000000002</v>
      </c>
      <c r="W844">
        <f t="shared" si="40"/>
        <v>3.8585000000000003</v>
      </c>
      <c r="X844">
        <f t="shared" si="41"/>
        <v>1.7044999999999999</v>
      </c>
      <c r="Y844">
        <v>13</v>
      </c>
      <c r="Z844" s="2" t="s">
        <v>168</v>
      </c>
    </row>
    <row r="845" spans="1:26" x14ac:dyDescent="0.25">
      <c r="A845">
        <v>1071</v>
      </c>
      <c r="B845">
        <v>901</v>
      </c>
      <c r="C845" t="s">
        <v>22</v>
      </c>
      <c r="D845" t="s">
        <v>166</v>
      </c>
      <c r="E845" t="s">
        <v>27</v>
      </c>
      <c r="F845" t="s">
        <v>744</v>
      </c>
      <c r="G845" t="e">
        <f>VLOOKUP(F845,Hospitals!E:H,4,FALSE)</f>
        <v>#N/A</v>
      </c>
      <c r="H845" s="1">
        <v>45565</v>
      </c>
      <c r="I845" t="s">
        <v>35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f t="shared" si="39"/>
        <v>0</v>
      </c>
      <c r="W845">
        <f t="shared" si="40"/>
        <v>0</v>
      </c>
      <c r="X845">
        <f t="shared" si="41"/>
        <v>0</v>
      </c>
      <c r="Y845">
        <v>13</v>
      </c>
      <c r="Z845" s="2" t="s">
        <v>168</v>
      </c>
    </row>
    <row r="846" spans="1:26" x14ac:dyDescent="0.25">
      <c r="A846">
        <v>841</v>
      </c>
      <c r="B846">
        <v>902</v>
      </c>
      <c r="C846" t="s">
        <v>22</v>
      </c>
      <c r="D846" t="s">
        <v>166</v>
      </c>
      <c r="E846" t="s">
        <v>27</v>
      </c>
      <c r="F846" t="s">
        <v>745</v>
      </c>
      <c r="G846" t="str">
        <f>VLOOKUP(F846,Hospitals!E:H,4,FALSE)</f>
        <v>28.73796 , 76.92972</v>
      </c>
      <c r="H846" s="1">
        <v>45562</v>
      </c>
      <c r="I846" t="s">
        <v>35</v>
      </c>
      <c r="J846">
        <v>0</v>
      </c>
      <c r="K846">
        <v>0</v>
      </c>
      <c r="L846">
        <v>0</v>
      </c>
      <c r="M846">
        <v>23.529</v>
      </c>
      <c r="N846">
        <v>17.390999999999998</v>
      </c>
      <c r="O846">
        <v>17.390999999999998</v>
      </c>
      <c r="P846">
        <v>23.529</v>
      </c>
      <c r="Q846">
        <v>17.390999999999998</v>
      </c>
      <c r="R846">
        <v>17.390999999999998</v>
      </c>
      <c r="S846">
        <v>0</v>
      </c>
      <c r="T846">
        <v>0</v>
      </c>
      <c r="U846">
        <v>0</v>
      </c>
      <c r="V846">
        <f t="shared" si="39"/>
        <v>11.7645</v>
      </c>
      <c r="W846">
        <f t="shared" si="40"/>
        <v>8.6954999999999991</v>
      </c>
      <c r="X846">
        <f t="shared" si="41"/>
        <v>8.6954999999999991</v>
      </c>
      <c r="Y846">
        <v>13</v>
      </c>
      <c r="Z846" s="2" t="s">
        <v>168</v>
      </c>
    </row>
    <row r="847" spans="1:26" x14ac:dyDescent="0.25">
      <c r="A847">
        <v>1099</v>
      </c>
      <c r="B847">
        <v>904</v>
      </c>
      <c r="C847" t="s">
        <v>22</v>
      </c>
      <c r="D847" t="s">
        <v>23</v>
      </c>
      <c r="E847" t="s">
        <v>30</v>
      </c>
      <c r="F847" t="s">
        <v>746</v>
      </c>
      <c r="G847" t="str">
        <f>VLOOKUP(F847,Hospitals!E:H,4,FALSE)</f>
        <v>29.37324 , 76.96548</v>
      </c>
      <c r="H847" s="1">
        <v>45612</v>
      </c>
      <c r="I847" s="1">
        <v>45612</v>
      </c>
      <c r="J847">
        <v>57.962000000000003</v>
      </c>
      <c r="K847">
        <v>55.03</v>
      </c>
      <c r="L847">
        <v>52.841000000000001</v>
      </c>
      <c r="M847">
        <v>76.471000000000004</v>
      </c>
      <c r="N847">
        <v>65.216999999999999</v>
      </c>
      <c r="O847">
        <v>65.216999999999999</v>
      </c>
      <c r="P847">
        <v>76.471000000000004</v>
      </c>
      <c r="Q847">
        <v>65.216999999999999</v>
      </c>
      <c r="R847">
        <v>65.216999999999999</v>
      </c>
      <c r="S847">
        <v>0</v>
      </c>
      <c r="T847">
        <v>0</v>
      </c>
      <c r="U847">
        <v>0</v>
      </c>
      <c r="V847">
        <f t="shared" si="39"/>
        <v>52.725999999999999</v>
      </c>
      <c r="W847">
        <f t="shared" si="40"/>
        <v>46.366</v>
      </c>
      <c r="X847">
        <f t="shared" si="41"/>
        <v>45.818749999999994</v>
      </c>
      <c r="Y847">
        <v>13</v>
      </c>
      <c r="Z847" s="2" t="s">
        <v>26</v>
      </c>
    </row>
    <row r="848" spans="1:26" x14ac:dyDescent="0.25">
      <c r="A848">
        <v>1166</v>
      </c>
      <c r="B848">
        <v>904</v>
      </c>
      <c r="C848" t="s">
        <v>22</v>
      </c>
      <c r="D848" t="s">
        <v>23</v>
      </c>
      <c r="E848" t="s">
        <v>30</v>
      </c>
      <c r="F848" t="s">
        <v>746</v>
      </c>
      <c r="G848" t="str">
        <f>VLOOKUP(F848,Hospitals!E:H,4,FALSE)</f>
        <v>29.37324 , 76.96548</v>
      </c>
      <c r="H848" s="1">
        <v>45745</v>
      </c>
      <c r="I848" t="s">
        <v>35</v>
      </c>
      <c r="J848">
        <v>57.962000000000003</v>
      </c>
      <c r="K848">
        <v>55.03</v>
      </c>
      <c r="L848">
        <v>52.841000000000001</v>
      </c>
      <c r="M848">
        <v>76.471000000000004</v>
      </c>
      <c r="N848">
        <v>65.216999999999999</v>
      </c>
      <c r="O848">
        <v>65.216999999999999</v>
      </c>
      <c r="P848">
        <v>76.471000000000004</v>
      </c>
      <c r="Q848">
        <v>65.216999999999999</v>
      </c>
      <c r="R848">
        <v>65.216999999999999</v>
      </c>
      <c r="S848">
        <v>0</v>
      </c>
      <c r="T848">
        <v>0</v>
      </c>
      <c r="U848">
        <v>0</v>
      </c>
      <c r="V848">
        <f t="shared" si="39"/>
        <v>52.725999999999999</v>
      </c>
      <c r="W848">
        <f t="shared" si="40"/>
        <v>46.366</v>
      </c>
      <c r="X848">
        <f t="shared" si="41"/>
        <v>45.818749999999994</v>
      </c>
      <c r="Y848">
        <v>13</v>
      </c>
      <c r="Z848" s="2" t="s">
        <v>26</v>
      </c>
    </row>
    <row r="849" spans="1:26" x14ac:dyDescent="0.25">
      <c r="A849">
        <v>850</v>
      </c>
      <c r="B849">
        <v>904</v>
      </c>
      <c r="C849" t="s">
        <v>22</v>
      </c>
      <c r="D849" t="s">
        <v>23</v>
      </c>
      <c r="E849" t="s">
        <v>30</v>
      </c>
      <c r="F849" t="s">
        <v>746</v>
      </c>
      <c r="G849" t="str">
        <f>VLOOKUP(F849,Hospitals!E:H,4,FALSE)</f>
        <v>29.37324 , 76.96548</v>
      </c>
      <c r="H849" s="1">
        <v>45489</v>
      </c>
      <c r="I849" s="1">
        <v>45489</v>
      </c>
      <c r="J849">
        <v>57.962000000000003</v>
      </c>
      <c r="K849">
        <v>55.03</v>
      </c>
      <c r="L849">
        <v>52.841000000000001</v>
      </c>
      <c r="M849">
        <v>76.471000000000004</v>
      </c>
      <c r="N849">
        <v>65.216999999999999</v>
      </c>
      <c r="O849">
        <v>65.216999999999999</v>
      </c>
      <c r="P849">
        <v>76.471000000000004</v>
      </c>
      <c r="Q849">
        <v>65.216999999999999</v>
      </c>
      <c r="R849">
        <v>65.216999999999999</v>
      </c>
      <c r="S849">
        <v>0</v>
      </c>
      <c r="T849">
        <v>0</v>
      </c>
      <c r="U849">
        <v>0</v>
      </c>
      <c r="V849">
        <f t="shared" si="39"/>
        <v>52.725999999999999</v>
      </c>
      <c r="W849">
        <f t="shared" si="40"/>
        <v>46.366</v>
      </c>
      <c r="X849">
        <f t="shared" si="41"/>
        <v>45.818749999999994</v>
      </c>
      <c r="Y849">
        <v>13</v>
      </c>
      <c r="Z849" s="2" t="s">
        <v>26</v>
      </c>
    </row>
    <row r="850" spans="1:26" x14ac:dyDescent="0.25">
      <c r="A850">
        <v>885</v>
      </c>
      <c r="B850">
        <v>905</v>
      </c>
      <c r="C850" t="s">
        <v>22</v>
      </c>
      <c r="D850" t="s">
        <v>23</v>
      </c>
      <c r="E850" t="s">
        <v>30</v>
      </c>
      <c r="F850" t="s">
        <v>747</v>
      </c>
      <c r="G850" t="str">
        <f>VLOOKUP(F850,Hospitals!E:H,4,FALSE)</f>
        <v>12.99222 , 80.23018</v>
      </c>
      <c r="H850" s="1">
        <v>46002</v>
      </c>
      <c r="I850" t="s">
        <v>35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f t="shared" si="39"/>
        <v>0</v>
      </c>
      <c r="W850">
        <f t="shared" si="40"/>
        <v>0</v>
      </c>
      <c r="X850">
        <f t="shared" si="41"/>
        <v>0</v>
      </c>
      <c r="Y850">
        <v>13</v>
      </c>
      <c r="Z850" s="2" t="s">
        <v>26</v>
      </c>
    </row>
    <row r="851" spans="1:26" x14ac:dyDescent="0.25">
      <c r="A851">
        <v>970</v>
      </c>
      <c r="B851">
        <v>906</v>
      </c>
      <c r="C851" t="s">
        <v>22</v>
      </c>
      <c r="D851" t="s">
        <v>166</v>
      </c>
      <c r="E851" t="s">
        <v>24</v>
      </c>
      <c r="F851" t="s">
        <v>748</v>
      </c>
      <c r="G851" t="e">
        <f>VLOOKUP(F851,Hospitals!E:H,4,FALSE)</f>
        <v>#N/A</v>
      </c>
      <c r="H851" s="1">
        <v>45524</v>
      </c>
      <c r="I851" t="s">
        <v>35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f t="shared" si="39"/>
        <v>0</v>
      </c>
      <c r="W851">
        <f t="shared" si="40"/>
        <v>0</v>
      </c>
      <c r="X851">
        <f t="shared" si="41"/>
        <v>0</v>
      </c>
      <c r="Y851">
        <v>13</v>
      </c>
      <c r="Z851" s="2" t="s">
        <v>168</v>
      </c>
    </row>
    <row r="852" spans="1:26" x14ac:dyDescent="0.25">
      <c r="A852">
        <v>932</v>
      </c>
      <c r="B852">
        <v>907</v>
      </c>
      <c r="C852" t="s">
        <v>22</v>
      </c>
      <c r="D852" t="s">
        <v>440</v>
      </c>
      <c r="E852" t="s">
        <v>27</v>
      </c>
      <c r="F852" t="s">
        <v>749</v>
      </c>
      <c r="G852" t="str">
        <f>VLOOKUP(F852,Hospitals!E:H,4,FALSE)</f>
        <v>28.26219 , 76.57194</v>
      </c>
      <c r="H852" s="1">
        <v>45499</v>
      </c>
      <c r="I852" s="1">
        <v>45499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f t="shared" si="39"/>
        <v>0</v>
      </c>
      <c r="W852">
        <f t="shared" si="40"/>
        <v>0</v>
      </c>
      <c r="X852">
        <f t="shared" si="41"/>
        <v>0</v>
      </c>
      <c r="Y852">
        <v>13</v>
      </c>
      <c r="Z852" s="2" t="s">
        <v>442</v>
      </c>
    </row>
    <row r="853" spans="1:26" x14ac:dyDescent="0.25">
      <c r="A853">
        <v>1064</v>
      </c>
      <c r="B853">
        <v>908</v>
      </c>
      <c r="C853" t="s">
        <v>22</v>
      </c>
      <c r="D853" t="s">
        <v>440</v>
      </c>
      <c r="E853" t="s">
        <v>27</v>
      </c>
      <c r="F853" t="s">
        <v>750</v>
      </c>
      <c r="G853" t="str">
        <f>VLOOKUP(F853,Hospitals!E:H,4,FALSE)</f>
        <v>30.16294 , 77.31282</v>
      </c>
      <c r="H853" s="1">
        <v>45559</v>
      </c>
      <c r="I853" s="1">
        <v>45559</v>
      </c>
      <c r="J853">
        <v>36.942999999999998</v>
      </c>
      <c r="K853">
        <v>34.32</v>
      </c>
      <c r="L853">
        <v>32.954999999999998</v>
      </c>
      <c r="M853">
        <v>29.411999999999999</v>
      </c>
      <c r="N853">
        <v>26.087</v>
      </c>
      <c r="O853">
        <v>26.087</v>
      </c>
      <c r="P853">
        <v>29.411999999999999</v>
      </c>
      <c r="Q853">
        <v>26.087</v>
      </c>
      <c r="R853">
        <v>26.087</v>
      </c>
      <c r="S853">
        <v>0</v>
      </c>
      <c r="T853">
        <v>0</v>
      </c>
      <c r="U853">
        <v>0</v>
      </c>
      <c r="V853">
        <f t="shared" si="39"/>
        <v>23.941749999999999</v>
      </c>
      <c r="W853">
        <f t="shared" si="40"/>
        <v>21.6235</v>
      </c>
      <c r="X853">
        <f t="shared" si="41"/>
        <v>21.282250000000001</v>
      </c>
      <c r="Y853">
        <v>13</v>
      </c>
      <c r="Z853" s="2" t="s">
        <v>442</v>
      </c>
    </row>
    <row r="854" spans="1:26" x14ac:dyDescent="0.25">
      <c r="A854">
        <v>870</v>
      </c>
      <c r="B854">
        <v>909</v>
      </c>
      <c r="C854" t="s">
        <v>22</v>
      </c>
      <c r="D854" t="s">
        <v>440</v>
      </c>
      <c r="E854" t="s">
        <v>30</v>
      </c>
      <c r="F854" t="s">
        <v>751</v>
      </c>
      <c r="G854" t="str">
        <f>VLOOKUP(F854,Hospitals!E:H,4,FALSE)</f>
        <v>30.39297 , 76.1443</v>
      </c>
      <c r="H854" s="1">
        <v>45554</v>
      </c>
      <c r="I854" s="1">
        <v>45554</v>
      </c>
      <c r="J854">
        <v>59.235999999999997</v>
      </c>
      <c r="K854">
        <v>56.805</v>
      </c>
      <c r="L854">
        <v>55.113999999999997</v>
      </c>
      <c r="M854">
        <v>52.941000000000003</v>
      </c>
      <c r="N854">
        <v>52.173999999999999</v>
      </c>
      <c r="O854">
        <v>52.173999999999999</v>
      </c>
      <c r="P854">
        <v>52.941000000000003</v>
      </c>
      <c r="Q854">
        <v>52.173999999999999</v>
      </c>
      <c r="R854">
        <v>52.173999999999999</v>
      </c>
      <c r="S854">
        <v>10</v>
      </c>
      <c r="T854">
        <v>8.3330000000000002</v>
      </c>
      <c r="U854">
        <v>0</v>
      </c>
      <c r="V854">
        <f t="shared" si="39"/>
        <v>43.779499999999999</v>
      </c>
      <c r="W854">
        <f t="shared" si="40"/>
        <v>42.371499999999997</v>
      </c>
      <c r="X854">
        <f t="shared" si="41"/>
        <v>39.865499999999997</v>
      </c>
      <c r="Y854">
        <v>13</v>
      </c>
      <c r="Z854" s="2" t="s">
        <v>442</v>
      </c>
    </row>
    <row r="855" spans="1:26" x14ac:dyDescent="0.25">
      <c r="A855">
        <v>492</v>
      </c>
      <c r="B855">
        <v>91</v>
      </c>
      <c r="C855" t="s">
        <v>22</v>
      </c>
      <c r="D855" t="s">
        <v>29</v>
      </c>
      <c r="E855" t="s">
        <v>30</v>
      </c>
      <c r="F855" t="s">
        <v>752</v>
      </c>
      <c r="G855" t="str">
        <f>VLOOKUP(F855,Hospitals!E:H,4,FALSE)</f>
        <v>28.46228 , 77.06706</v>
      </c>
      <c r="H855" s="1">
        <v>45377</v>
      </c>
      <c r="I855" s="1">
        <v>45377</v>
      </c>
      <c r="J855">
        <v>95.540999999999997</v>
      </c>
      <c r="K855">
        <v>95.266000000000005</v>
      </c>
      <c r="L855">
        <v>93.75</v>
      </c>
      <c r="M855">
        <v>70.587999999999994</v>
      </c>
      <c r="N855">
        <v>65.216999999999999</v>
      </c>
      <c r="O855">
        <v>65.216999999999999</v>
      </c>
      <c r="P855">
        <v>70.587999999999994</v>
      </c>
      <c r="Q855">
        <v>65.216999999999999</v>
      </c>
      <c r="R855">
        <v>65.216999999999999</v>
      </c>
      <c r="S855">
        <v>20</v>
      </c>
      <c r="T855">
        <v>16.667000000000002</v>
      </c>
      <c r="U855">
        <v>7.1429999999999998</v>
      </c>
      <c r="V855">
        <f t="shared" si="39"/>
        <v>64.179249999999996</v>
      </c>
      <c r="W855">
        <f t="shared" si="40"/>
        <v>60.591749999999998</v>
      </c>
      <c r="X855">
        <f t="shared" si="41"/>
        <v>57.831749999999992</v>
      </c>
      <c r="Y855">
        <v>13</v>
      </c>
      <c r="Z855" s="2" t="s">
        <v>31</v>
      </c>
    </row>
    <row r="856" spans="1:26" x14ac:dyDescent="0.25">
      <c r="A856">
        <v>1056</v>
      </c>
      <c r="B856">
        <v>910</v>
      </c>
      <c r="C856" t="s">
        <v>22</v>
      </c>
      <c r="D856" t="s">
        <v>440</v>
      </c>
      <c r="E856" t="s">
        <v>30</v>
      </c>
      <c r="F856" t="s">
        <v>753</v>
      </c>
      <c r="G856" t="str">
        <f>VLOOKUP(F856,Hospitals!E:H,4,FALSE)</f>
        <v>28.17424 , 76.63227</v>
      </c>
      <c r="H856" s="1">
        <v>45555</v>
      </c>
      <c r="I856" s="1">
        <v>45555</v>
      </c>
      <c r="J856">
        <v>92.994</v>
      </c>
      <c r="K856">
        <v>91.715999999999994</v>
      </c>
      <c r="L856">
        <v>89.772999999999996</v>
      </c>
      <c r="M856">
        <v>88.234999999999999</v>
      </c>
      <c r="N856">
        <v>82.608999999999995</v>
      </c>
      <c r="O856">
        <v>82.608999999999995</v>
      </c>
      <c r="P856">
        <v>88.234999999999999</v>
      </c>
      <c r="Q856">
        <v>82.608999999999995</v>
      </c>
      <c r="R856">
        <v>82.608999999999995</v>
      </c>
      <c r="S856">
        <v>30</v>
      </c>
      <c r="T856">
        <v>8.3330000000000002</v>
      </c>
      <c r="U856">
        <v>7.1429999999999998</v>
      </c>
      <c r="V856">
        <f t="shared" si="39"/>
        <v>74.866</v>
      </c>
      <c r="W856">
        <f t="shared" si="40"/>
        <v>66.316749999999999</v>
      </c>
      <c r="X856">
        <f t="shared" si="41"/>
        <v>65.533499999999989</v>
      </c>
      <c r="Y856">
        <v>13</v>
      </c>
      <c r="Z856" s="2" t="s">
        <v>442</v>
      </c>
    </row>
    <row r="857" spans="1:26" x14ac:dyDescent="0.25">
      <c r="A857">
        <v>1051</v>
      </c>
      <c r="B857">
        <v>911</v>
      </c>
      <c r="C857" t="s">
        <v>22</v>
      </c>
      <c r="D857" t="s">
        <v>440</v>
      </c>
      <c r="E857" t="s">
        <v>30</v>
      </c>
      <c r="F857" t="s">
        <v>754</v>
      </c>
      <c r="G857" t="str">
        <f>VLOOKUP(F857,Hospitals!E:H,4,FALSE)</f>
        <v>27.57059 , 80.09819</v>
      </c>
      <c r="H857" s="1">
        <v>45554</v>
      </c>
      <c r="I857" s="1">
        <v>45554</v>
      </c>
      <c r="J857">
        <v>59.235999999999997</v>
      </c>
      <c r="K857">
        <v>56.213000000000001</v>
      </c>
      <c r="L857">
        <v>54.545000000000002</v>
      </c>
      <c r="M857">
        <v>41.176000000000002</v>
      </c>
      <c r="N857">
        <v>34.783000000000001</v>
      </c>
      <c r="O857">
        <v>34.783000000000001</v>
      </c>
      <c r="P857">
        <v>41.176000000000002</v>
      </c>
      <c r="Q857">
        <v>34.783000000000001</v>
      </c>
      <c r="R857">
        <v>34.783000000000001</v>
      </c>
      <c r="S857">
        <v>0</v>
      </c>
      <c r="T857">
        <v>0</v>
      </c>
      <c r="U857">
        <v>0</v>
      </c>
      <c r="V857">
        <f t="shared" si="39"/>
        <v>35.397000000000006</v>
      </c>
      <c r="W857">
        <f t="shared" si="40"/>
        <v>31.444750000000003</v>
      </c>
      <c r="X857">
        <f t="shared" si="41"/>
        <v>31.027750000000001</v>
      </c>
      <c r="Y857">
        <v>13</v>
      </c>
      <c r="Z857" s="2" t="s">
        <v>442</v>
      </c>
    </row>
    <row r="858" spans="1:26" x14ac:dyDescent="0.25">
      <c r="A858">
        <v>934</v>
      </c>
      <c r="B858">
        <v>913</v>
      </c>
      <c r="C858" t="s">
        <v>22</v>
      </c>
      <c r="D858" t="s">
        <v>440</v>
      </c>
      <c r="E858" t="s">
        <v>30</v>
      </c>
      <c r="F858" t="s">
        <v>755</v>
      </c>
      <c r="G858" t="str">
        <f>VLOOKUP(F858,Hospitals!E:H,4,FALSE)</f>
        <v>28.4595 , 77.02664</v>
      </c>
      <c r="H858" s="1">
        <v>45504</v>
      </c>
      <c r="I858" s="1">
        <v>45504</v>
      </c>
      <c r="J858">
        <v>99.363</v>
      </c>
      <c r="K858">
        <v>98.224999999999994</v>
      </c>
      <c r="L858">
        <v>96.022999999999996</v>
      </c>
      <c r="M858">
        <v>76.471000000000004</v>
      </c>
      <c r="N858">
        <v>73.912999999999997</v>
      </c>
      <c r="O858">
        <v>73.912999999999997</v>
      </c>
      <c r="P858">
        <v>76.471000000000004</v>
      </c>
      <c r="Q858">
        <v>73.912999999999997</v>
      </c>
      <c r="R858">
        <v>73.912999999999997</v>
      </c>
      <c r="S858">
        <v>20</v>
      </c>
      <c r="T858">
        <v>25</v>
      </c>
      <c r="U858">
        <v>7.1429999999999998</v>
      </c>
      <c r="V858">
        <f t="shared" si="39"/>
        <v>68.076250000000002</v>
      </c>
      <c r="W858">
        <f t="shared" si="40"/>
        <v>67.762749999999997</v>
      </c>
      <c r="X858">
        <f t="shared" si="41"/>
        <v>62.747999999999998</v>
      </c>
      <c r="Y858">
        <v>13</v>
      </c>
      <c r="Z858" s="2" t="s">
        <v>442</v>
      </c>
    </row>
    <row r="859" spans="1:26" x14ac:dyDescent="0.25">
      <c r="A859">
        <v>1055</v>
      </c>
      <c r="B859">
        <v>914</v>
      </c>
      <c r="C859" t="s">
        <v>22</v>
      </c>
      <c r="D859" t="s">
        <v>440</v>
      </c>
      <c r="E859" t="s">
        <v>30</v>
      </c>
      <c r="F859" t="s">
        <v>756</v>
      </c>
      <c r="G859" t="str">
        <f>VLOOKUP(F859,Hospitals!E:H,4,FALSE)</f>
        <v>28.19082 , 76.62754</v>
      </c>
      <c r="H859" s="1">
        <v>45555</v>
      </c>
      <c r="I859" t="s">
        <v>35</v>
      </c>
      <c r="J859">
        <v>97.451999999999998</v>
      </c>
      <c r="K859">
        <v>96.45</v>
      </c>
      <c r="L859">
        <v>96.022999999999996</v>
      </c>
      <c r="M859">
        <v>94.117999999999995</v>
      </c>
      <c r="N859">
        <v>86.956999999999994</v>
      </c>
      <c r="O859">
        <v>86.956999999999994</v>
      </c>
      <c r="P859">
        <v>94.117999999999995</v>
      </c>
      <c r="Q859">
        <v>86.956999999999994</v>
      </c>
      <c r="R859">
        <v>86.956999999999994</v>
      </c>
      <c r="S859">
        <v>20</v>
      </c>
      <c r="T859">
        <v>16.667000000000002</v>
      </c>
      <c r="U859">
        <v>7.1429999999999998</v>
      </c>
      <c r="V859">
        <f t="shared" si="39"/>
        <v>76.421999999999997</v>
      </c>
      <c r="W859">
        <f t="shared" si="40"/>
        <v>71.757749999999987</v>
      </c>
      <c r="X859">
        <f t="shared" si="41"/>
        <v>69.27</v>
      </c>
      <c r="Y859">
        <v>13</v>
      </c>
      <c r="Z859" s="2" t="s">
        <v>442</v>
      </c>
    </row>
    <row r="860" spans="1:26" x14ac:dyDescent="0.25">
      <c r="A860">
        <v>869</v>
      </c>
      <c r="B860">
        <v>916</v>
      </c>
      <c r="C860" t="s">
        <v>22</v>
      </c>
      <c r="D860" t="s">
        <v>440</v>
      </c>
      <c r="E860" t="s">
        <v>30</v>
      </c>
      <c r="F860" t="s">
        <v>757</v>
      </c>
      <c r="G860" t="str">
        <f>VLOOKUP(F860,Hospitals!E:H,4,FALSE)</f>
        <v>28.18637 , 76.61021</v>
      </c>
      <c r="H860" s="1">
        <v>45553</v>
      </c>
      <c r="I860" s="1">
        <v>45553</v>
      </c>
      <c r="J860">
        <v>92.994</v>
      </c>
      <c r="K860">
        <v>92.308000000000007</v>
      </c>
      <c r="L860">
        <v>90.340999999999994</v>
      </c>
      <c r="M860">
        <v>94.117999999999995</v>
      </c>
      <c r="N860">
        <v>95.652000000000001</v>
      </c>
      <c r="O860">
        <v>95.652000000000001</v>
      </c>
      <c r="P860">
        <v>94.117999999999995</v>
      </c>
      <c r="Q860">
        <v>95.652000000000001</v>
      </c>
      <c r="R860">
        <v>95.652000000000001</v>
      </c>
      <c r="S860">
        <v>40</v>
      </c>
      <c r="T860">
        <v>25</v>
      </c>
      <c r="U860">
        <v>14.286</v>
      </c>
      <c r="V860">
        <f t="shared" si="39"/>
        <v>80.307500000000005</v>
      </c>
      <c r="W860">
        <f t="shared" si="40"/>
        <v>77.153000000000006</v>
      </c>
      <c r="X860">
        <f t="shared" si="41"/>
        <v>73.982749999999996</v>
      </c>
      <c r="Y860">
        <v>13</v>
      </c>
      <c r="Z860" s="2" t="s">
        <v>442</v>
      </c>
    </row>
    <row r="861" spans="1:26" x14ac:dyDescent="0.25">
      <c r="A861">
        <v>928</v>
      </c>
      <c r="B861">
        <v>917</v>
      </c>
      <c r="C861" t="s">
        <v>22</v>
      </c>
      <c r="D861" t="s">
        <v>440</v>
      </c>
      <c r="E861" t="s">
        <v>30</v>
      </c>
      <c r="F861" t="s">
        <v>758</v>
      </c>
      <c r="G861" t="str">
        <f>VLOOKUP(F861,Hospitals!E:H,4,FALSE)</f>
        <v>28.45133 , 77.03288</v>
      </c>
      <c r="H861" s="1">
        <v>45554</v>
      </c>
      <c r="I861" s="1">
        <v>45554</v>
      </c>
      <c r="J861">
        <v>100</v>
      </c>
      <c r="K861">
        <v>99.408000000000001</v>
      </c>
      <c r="L861">
        <v>99.432000000000002</v>
      </c>
      <c r="M861">
        <v>94.117999999999995</v>
      </c>
      <c r="N861">
        <v>95.652000000000001</v>
      </c>
      <c r="O861">
        <v>95.652000000000001</v>
      </c>
      <c r="P861">
        <v>94.117999999999995</v>
      </c>
      <c r="Q861">
        <v>95.652000000000001</v>
      </c>
      <c r="R861">
        <v>95.652000000000001</v>
      </c>
      <c r="S861">
        <v>60</v>
      </c>
      <c r="T861">
        <v>41.667000000000002</v>
      </c>
      <c r="U861">
        <v>21.428999999999998</v>
      </c>
      <c r="V861">
        <f t="shared" si="39"/>
        <v>87.058999999999997</v>
      </c>
      <c r="W861">
        <f t="shared" si="40"/>
        <v>83.094750000000005</v>
      </c>
      <c r="X861">
        <f t="shared" si="41"/>
        <v>78.041249999999991</v>
      </c>
      <c r="Y861">
        <v>13</v>
      </c>
      <c r="Z861" s="2" t="s">
        <v>442</v>
      </c>
    </row>
    <row r="862" spans="1:26" x14ac:dyDescent="0.25">
      <c r="A862">
        <v>1073</v>
      </c>
      <c r="B862">
        <v>918</v>
      </c>
      <c r="C862" t="s">
        <v>22</v>
      </c>
      <c r="D862" t="s">
        <v>440</v>
      </c>
      <c r="E862" t="s">
        <v>30</v>
      </c>
      <c r="F862" t="s">
        <v>759</v>
      </c>
      <c r="G862" t="str">
        <f>VLOOKUP(F862,Hospitals!E:H,4,FALSE)</f>
        <v>28.26219 , 76.57194</v>
      </c>
      <c r="H862" s="1">
        <v>45567</v>
      </c>
      <c r="I862" s="1">
        <v>45567</v>
      </c>
      <c r="J862">
        <v>100</v>
      </c>
      <c r="K862">
        <v>100</v>
      </c>
      <c r="L862">
        <v>100</v>
      </c>
      <c r="M862">
        <v>100</v>
      </c>
      <c r="N862">
        <v>100</v>
      </c>
      <c r="O862">
        <v>100</v>
      </c>
      <c r="P862">
        <v>100</v>
      </c>
      <c r="Q862">
        <v>100</v>
      </c>
      <c r="R862">
        <v>100</v>
      </c>
      <c r="S862">
        <v>20</v>
      </c>
      <c r="T862">
        <v>16.667000000000002</v>
      </c>
      <c r="U862">
        <v>7.1429999999999998</v>
      </c>
      <c r="V862">
        <f t="shared" si="39"/>
        <v>80</v>
      </c>
      <c r="W862">
        <f t="shared" si="40"/>
        <v>79.166750000000008</v>
      </c>
      <c r="X862">
        <f t="shared" si="41"/>
        <v>76.785749999999993</v>
      </c>
      <c r="Y862">
        <v>13</v>
      </c>
      <c r="Z862" s="2" t="s">
        <v>442</v>
      </c>
    </row>
    <row r="863" spans="1:26" x14ac:dyDescent="0.25">
      <c r="A863">
        <v>1044</v>
      </c>
      <c r="B863">
        <v>919</v>
      </c>
      <c r="C863" t="s">
        <v>22</v>
      </c>
      <c r="D863" t="s">
        <v>440</v>
      </c>
      <c r="E863" t="s">
        <v>30</v>
      </c>
      <c r="F863" t="s">
        <v>760</v>
      </c>
      <c r="G863" t="str">
        <f>VLOOKUP(F863,Hospitals!E:H,4,FALSE)</f>
        <v>28.18758 , 76.62971</v>
      </c>
      <c r="H863" s="1">
        <v>45553</v>
      </c>
      <c r="I863" s="1">
        <v>45553</v>
      </c>
      <c r="J863">
        <v>67.516000000000005</v>
      </c>
      <c r="K863">
        <v>66.272000000000006</v>
      </c>
      <c r="L863">
        <v>63.636000000000003</v>
      </c>
      <c r="M863">
        <v>47.058999999999997</v>
      </c>
      <c r="N863">
        <v>52.173999999999999</v>
      </c>
      <c r="O863">
        <v>52.173999999999999</v>
      </c>
      <c r="P863">
        <v>47.058999999999997</v>
      </c>
      <c r="Q863">
        <v>52.173999999999999</v>
      </c>
      <c r="R863">
        <v>52.173999999999999</v>
      </c>
      <c r="S863">
        <v>20</v>
      </c>
      <c r="T863">
        <v>8.3330000000000002</v>
      </c>
      <c r="U863">
        <v>0</v>
      </c>
      <c r="V863">
        <f t="shared" si="39"/>
        <v>45.408500000000004</v>
      </c>
      <c r="W863">
        <f t="shared" si="40"/>
        <v>44.738250000000001</v>
      </c>
      <c r="X863">
        <f t="shared" si="41"/>
        <v>41.996000000000002</v>
      </c>
      <c r="Y863">
        <v>13</v>
      </c>
      <c r="Z863" s="2" t="s">
        <v>442</v>
      </c>
    </row>
    <row r="864" spans="1:26" x14ac:dyDescent="0.25">
      <c r="A864">
        <v>290</v>
      </c>
      <c r="B864">
        <v>92</v>
      </c>
      <c r="C864" t="s">
        <v>22</v>
      </c>
      <c r="D864" t="s">
        <v>29</v>
      </c>
      <c r="E864" t="s">
        <v>30</v>
      </c>
      <c r="F864" t="s">
        <v>758</v>
      </c>
      <c r="G864" t="str">
        <f>VLOOKUP(F864,Hospitals!E:H,4,FALSE)</f>
        <v>28.45133 , 77.03288</v>
      </c>
      <c r="H864" s="1">
        <v>45456</v>
      </c>
      <c r="I864" s="1">
        <v>45456</v>
      </c>
      <c r="J864">
        <v>83.438999999999993</v>
      </c>
      <c r="K864">
        <v>82.84</v>
      </c>
      <c r="L864">
        <v>80.114000000000004</v>
      </c>
      <c r="M864">
        <v>82.352999999999994</v>
      </c>
      <c r="N864">
        <v>82.608999999999995</v>
      </c>
      <c r="O864">
        <v>82.608999999999995</v>
      </c>
      <c r="P864">
        <v>82.352999999999994</v>
      </c>
      <c r="Q864">
        <v>82.608999999999995</v>
      </c>
      <c r="R864">
        <v>82.608999999999995</v>
      </c>
      <c r="S864">
        <v>30</v>
      </c>
      <c r="T864">
        <v>16.667000000000002</v>
      </c>
      <c r="U864">
        <v>0</v>
      </c>
      <c r="V864">
        <f t="shared" si="39"/>
        <v>69.536249999999995</v>
      </c>
      <c r="W864">
        <f t="shared" si="40"/>
        <v>66.181250000000006</v>
      </c>
      <c r="X864">
        <f t="shared" si="41"/>
        <v>61.332999999999998</v>
      </c>
      <c r="Y864">
        <v>13</v>
      </c>
      <c r="Z864" s="2" t="s">
        <v>31</v>
      </c>
    </row>
    <row r="865" spans="1:26" x14ac:dyDescent="0.25">
      <c r="A865">
        <v>1049</v>
      </c>
      <c r="B865">
        <v>920</v>
      </c>
      <c r="C865" t="s">
        <v>22</v>
      </c>
      <c r="D865" t="s">
        <v>440</v>
      </c>
      <c r="E865" t="s">
        <v>30</v>
      </c>
      <c r="F865" t="s">
        <v>761</v>
      </c>
      <c r="G865" t="str">
        <f>VLOOKUP(F865,Hospitals!E:H,4,FALSE)</f>
        <v>28.19879 , 76.60923</v>
      </c>
      <c r="H865" s="1">
        <v>45554</v>
      </c>
      <c r="I865" s="1">
        <v>45554</v>
      </c>
      <c r="J865">
        <v>82.802999999999997</v>
      </c>
      <c r="K865">
        <v>82.248999999999995</v>
      </c>
      <c r="L865">
        <v>79.545000000000002</v>
      </c>
      <c r="M865">
        <v>88.234999999999999</v>
      </c>
      <c r="N865">
        <v>82.608999999999995</v>
      </c>
      <c r="O865">
        <v>82.608999999999995</v>
      </c>
      <c r="P865">
        <v>88.234999999999999</v>
      </c>
      <c r="Q865">
        <v>82.608999999999995</v>
      </c>
      <c r="R865">
        <v>82.608999999999995</v>
      </c>
      <c r="S865">
        <v>20</v>
      </c>
      <c r="T865">
        <v>8.3330000000000002</v>
      </c>
      <c r="U865">
        <v>0</v>
      </c>
      <c r="V865">
        <f t="shared" si="39"/>
        <v>69.818250000000006</v>
      </c>
      <c r="W865">
        <f t="shared" si="40"/>
        <v>63.949999999999996</v>
      </c>
      <c r="X865">
        <f t="shared" si="41"/>
        <v>61.190749999999994</v>
      </c>
      <c r="Y865">
        <v>13</v>
      </c>
      <c r="Z865" s="2" t="s">
        <v>442</v>
      </c>
    </row>
    <row r="866" spans="1:26" x14ac:dyDescent="0.25">
      <c r="A866">
        <v>941</v>
      </c>
      <c r="B866">
        <v>921</v>
      </c>
      <c r="C866" t="s">
        <v>22</v>
      </c>
      <c r="D866" t="s">
        <v>440</v>
      </c>
      <c r="E866" t="s">
        <v>30</v>
      </c>
      <c r="F866" t="s">
        <v>762</v>
      </c>
      <c r="G866" t="str">
        <f>VLOOKUP(F866,Hospitals!E:H,4,FALSE)</f>
        <v>28.18817 , 76.62971</v>
      </c>
      <c r="H866" s="1">
        <v>45553</v>
      </c>
      <c r="I866" s="1">
        <v>45553</v>
      </c>
      <c r="J866">
        <v>98.725999999999999</v>
      </c>
      <c r="K866">
        <v>98.224999999999994</v>
      </c>
      <c r="L866">
        <v>97.727000000000004</v>
      </c>
      <c r="M866">
        <v>88.234999999999999</v>
      </c>
      <c r="N866">
        <v>86.956999999999994</v>
      </c>
      <c r="O866">
        <v>86.956999999999994</v>
      </c>
      <c r="P866">
        <v>88.234999999999999</v>
      </c>
      <c r="Q866">
        <v>86.956999999999994</v>
      </c>
      <c r="R866">
        <v>86.956999999999994</v>
      </c>
      <c r="S866">
        <v>10</v>
      </c>
      <c r="T866">
        <v>8.3330000000000002</v>
      </c>
      <c r="U866">
        <v>0</v>
      </c>
      <c r="V866">
        <f t="shared" si="39"/>
        <v>71.299000000000007</v>
      </c>
      <c r="W866">
        <f t="shared" si="40"/>
        <v>70.118000000000009</v>
      </c>
      <c r="X866">
        <f t="shared" si="41"/>
        <v>67.910249999999991</v>
      </c>
      <c r="Y866">
        <v>13</v>
      </c>
      <c r="Z866" s="2" t="s">
        <v>442</v>
      </c>
    </row>
    <row r="867" spans="1:26" x14ac:dyDescent="0.25">
      <c r="A867">
        <v>927</v>
      </c>
      <c r="B867">
        <v>922</v>
      </c>
      <c r="C867" t="s">
        <v>22</v>
      </c>
      <c r="D867" t="s">
        <v>440</v>
      </c>
      <c r="E867" t="s">
        <v>30</v>
      </c>
      <c r="F867" t="s">
        <v>763</v>
      </c>
      <c r="G867" t="str">
        <f>VLOOKUP(F867,Hospitals!E:H,4,FALSE)</f>
        <v>28.18543 , 76.63404</v>
      </c>
      <c r="H867" s="1">
        <v>45553</v>
      </c>
      <c r="I867" s="1">
        <v>45553</v>
      </c>
      <c r="J867">
        <v>82.165999999999997</v>
      </c>
      <c r="K867">
        <v>79.290000000000006</v>
      </c>
      <c r="L867">
        <v>78.409000000000006</v>
      </c>
      <c r="M867">
        <v>100</v>
      </c>
      <c r="N867">
        <v>95.652000000000001</v>
      </c>
      <c r="O867">
        <v>95.652000000000001</v>
      </c>
      <c r="P867">
        <v>100</v>
      </c>
      <c r="Q867">
        <v>95.652000000000001</v>
      </c>
      <c r="R867">
        <v>95.652000000000001</v>
      </c>
      <c r="S867">
        <v>20</v>
      </c>
      <c r="T867">
        <v>8.3330000000000002</v>
      </c>
      <c r="U867">
        <v>7.1429999999999998</v>
      </c>
      <c r="V867">
        <f t="shared" si="39"/>
        <v>75.541499999999999</v>
      </c>
      <c r="W867">
        <f t="shared" si="40"/>
        <v>69.731750000000005</v>
      </c>
      <c r="X867">
        <f t="shared" si="41"/>
        <v>69.213999999999999</v>
      </c>
      <c r="Y867">
        <v>13</v>
      </c>
      <c r="Z867" s="2" t="s">
        <v>442</v>
      </c>
    </row>
    <row r="868" spans="1:26" x14ac:dyDescent="0.25">
      <c r="A868">
        <v>930</v>
      </c>
      <c r="B868">
        <v>923</v>
      </c>
      <c r="C868" t="s">
        <v>22</v>
      </c>
      <c r="D868" t="s">
        <v>440</v>
      </c>
      <c r="E868" t="s">
        <v>77</v>
      </c>
      <c r="F868" t="s">
        <v>764</v>
      </c>
      <c r="G868" t="str">
        <f>VLOOKUP(F868,Hospitals!E:H,4,FALSE)</f>
        <v>28.40605 , 76.48211</v>
      </c>
      <c r="H868" s="1">
        <v>45559</v>
      </c>
      <c r="I868" s="1">
        <v>45559</v>
      </c>
      <c r="J868">
        <v>52.866</v>
      </c>
      <c r="K868">
        <v>49.112000000000002</v>
      </c>
      <c r="L868">
        <v>47.726999999999997</v>
      </c>
      <c r="M868">
        <v>76.471000000000004</v>
      </c>
      <c r="N868">
        <v>56.521999999999998</v>
      </c>
      <c r="O868">
        <v>56.521999999999998</v>
      </c>
      <c r="P868">
        <v>76.471000000000004</v>
      </c>
      <c r="Q868">
        <v>56.521999999999998</v>
      </c>
      <c r="R868">
        <v>56.521999999999998</v>
      </c>
      <c r="S868">
        <v>20</v>
      </c>
      <c r="T868">
        <v>8.3330000000000002</v>
      </c>
      <c r="U868">
        <v>7.1429999999999998</v>
      </c>
      <c r="V868">
        <f t="shared" si="39"/>
        <v>56.451999999999998</v>
      </c>
      <c r="W868">
        <f t="shared" si="40"/>
        <v>42.622250000000001</v>
      </c>
      <c r="X868">
        <f t="shared" si="41"/>
        <v>41.978499999999997</v>
      </c>
      <c r="Y868">
        <v>13</v>
      </c>
      <c r="Z868" s="2" t="s">
        <v>442</v>
      </c>
    </row>
    <row r="869" spans="1:26" x14ac:dyDescent="0.25">
      <c r="A869">
        <v>873</v>
      </c>
      <c r="B869">
        <v>924</v>
      </c>
      <c r="C869" t="s">
        <v>22</v>
      </c>
      <c r="D869" t="s">
        <v>23</v>
      </c>
      <c r="E869" t="s">
        <v>30</v>
      </c>
      <c r="F869" t="s">
        <v>765</v>
      </c>
      <c r="G869" t="str">
        <f>VLOOKUP(F869,Hospitals!E:H,4,FALSE)</f>
        <v>30.39315 , 76.79134</v>
      </c>
      <c r="H869" s="1">
        <v>45483</v>
      </c>
      <c r="I869" s="1">
        <v>45483</v>
      </c>
      <c r="J869">
        <v>72.611000000000004</v>
      </c>
      <c r="K869">
        <v>71.006</v>
      </c>
      <c r="L869">
        <v>69.317999999999998</v>
      </c>
      <c r="M869">
        <v>64.706000000000003</v>
      </c>
      <c r="N869">
        <v>73.912999999999997</v>
      </c>
      <c r="O869">
        <v>73.912999999999997</v>
      </c>
      <c r="P869">
        <v>64.706000000000003</v>
      </c>
      <c r="Q869">
        <v>73.912999999999997</v>
      </c>
      <c r="R869">
        <v>73.912999999999997</v>
      </c>
      <c r="S869">
        <v>40</v>
      </c>
      <c r="T869">
        <v>33.332999999999998</v>
      </c>
      <c r="U869">
        <v>7.1429999999999998</v>
      </c>
      <c r="V869">
        <f t="shared" si="39"/>
        <v>60.505750000000006</v>
      </c>
      <c r="W869">
        <f t="shared" si="40"/>
        <v>63.041249999999998</v>
      </c>
      <c r="X869">
        <f t="shared" si="41"/>
        <v>56.071750000000002</v>
      </c>
      <c r="Y869">
        <v>13</v>
      </c>
      <c r="Z869" s="2" t="s">
        <v>26</v>
      </c>
    </row>
    <row r="870" spans="1:26" x14ac:dyDescent="0.25">
      <c r="A870">
        <v>896</v>
      </c>
      <c r="B870">
        <v>925</v>
      </c>
      <c r="C870" t="s">
        <v>22</v>
      </c>
      <c r="D870" t="s">
        <v>23</v>
      </c>
      <c r="E870" t="s">
        <v>30</v>
      </c>
      <c r="F870" t="s">
        <v>766</v>
      </c>
      <c r="G870" t="e">
        <f>VLOOKUP(F870,Hospitals!E:H,4,FALSE)</f>
        <v>#N/A</v>
      </c>
      <c r="H870" s="1">
        <v>45489</v>
      </c>
      <c r="I870" t="s">
        <v>35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f t="shared" si="39"/>
        <v>0</v>
      </c>
      <c r="W870">
        <f t="shared" si="40"/>
        <v>0</v>
      </c>
      <c r="X870">
        <f t="shared" si="41"/>
        <v>0</v>
      </c>
      <c r="Y870">
        <v>13</v>
      </c>
      <c r="Z870" s="2" t="s">
        <v>26</v>
      </c>
    </row>
    <row r="871" spans="1:26" x14ac:dyDescent="0.25">
      <c r="A871">
        <v>883</v>
      </c>
      <c r="B871">
        <v>926</v>
      </c>
      <c r="C871" t="s">
        <v>22</v>
      </c>
      <c r="D871" t="s">
        <v>23</v>
      </c>
      <c r="E871" t="s">
        <v>30</v>
      </c>
      <c r="F871" t="s">
        <v>767</v>
      </c>
      <c r="G871" t="str">
        <f>VLOOKUP(F871,Hospitals!E:H,4,FALSE)</f>
        <v>30.24159 , 77.04084</v>
      </c>
      <c r="H871" s="1">
        <v>45478</v>
      </c>
      <c r="I871" s="1">
        <v>45478</v>
      </c>
      <c r="J871">
        <v>78.343999999999994</v>
      </c>
      <c r="K871">
        <v>76.923000000000002</v>
      </c>
      <c r="L871">
        <v>76.135999999999996</v>
      </c>
      <c r="M871">
        <v>76.471000000000004</v>
      </c>
      <c r="N871">
        <v>73.912999999999997</v>
      </c>
      <c r="O871">
        <v>73.912999999999997</v>
      </c>
      <c r="P871">
        <v>76.471000000000004</v>
      </c>
      <c r="Q871">
        <v>73.912999999999997</v>
      </c>
      <c r="R871">
        <v>73.912999999999997</v>
      </c>
      <c r="S871">
        <v>20</v>
      </c>
      <c r="T871">
        <v>8.3330000000000002</v>
      </c>
      <c r="U871">
        <v>0</v>
      </c>
      <c r="V871">
        <f t="shared" si="39"/>
        <v>62.8215</v>
      </c>
      <c r="W871">
        <f t="shared" si="40"/>
        <v>58.270500000000006</v>
      </c>
      <c r="X871">
        <f t="shared" si="41"/>
        <v>55.990499999999997</v>
      </c>
      <c r="Y871">
        <v>13</v>
      </c>
      <c r="Z871" s="2" t="s">
        <v>26</v>
      </c>
    </row>
    <row r="872" spans="1:26" x14ac:dyDescent="0.25">
      <c r="A872">
        <v>892</v>
      </c>
      <c r="B872">
        <v>927</v>
      </c>
      <c r="C872" t="s">
        <v>22</v>
      </c>
      <c r="D872" t="s">
        <v>23</v>
      </c>
      <c r="E872" t="s">
        <v>30</v>
      </c>
      <c r="F872" t="s">
        <v>768</v>
      </c>
      <c r="G872" t="str">
        <f>VLOOKUP(F872,Hospitals!E:H,4,FALSE)</f>
        <v>30.37123 , 76.7887</v>
      </c>
      <c r="H872" s="1">
        <v>45490</v>
      </c>
      <c r="I872" s="1">
        <v>45490</v>
      </c>
      <c r="J872">
        <v>65.605000000000004</v>
      </c>
      <c r="K872">
        <v>64.497</v>
      </c>
      <c r="L872">
        <v>63.067999999999998</v>
      </c>
      <c r="M872">
        <v>70.587999999999994</v>
      </c>
      <c r="N872">
        <v>69.564999999999998</v>
      </c>
      <c r="O872">
        <v>69.564999999999998</v>
      </c>
      <c r="P872">
        <v>70.587999999999994</v>
      </c>
      <c r="Q872">
        <v>69.564999999999998</v>
      </c>
      <c r="R872">
        <v>69.564999999999998</v>
      </c>
      <c r="S872">
        <v>0</v>
      </c>
      <c r="T872">
        <v>8.3330000000000002</v>
      </c>
      <c r="U872">
        <v>0</v>
      </c>
      <c r="V872">
        <f t="shared" si="39"/>
        <v>51.695249999999994</v>
      </c>
      <c r="W872">
        <f t="shared" si="40"/>
        <v>52.99</v>
      </c>
      <c r="X872">
        <f t="shared" si="41"/>
        <v>50.549499999999995</v>
      </c>
      <c r="Y872">
        <v>13</v>
      </c>
      <c r="Z872" s="2" t="s">
        <v>26</v>
      </c>
    </row>
    <row r="873" spans="1:26" x14ac:dyDescent="0.25">
      <c r="A873">
        <v>901</v>
      </c>
      <c r="B873">
        <v>928</v>
      </c>
      <c r="C873" t="s">
        <v>22</v>
      </c>
      <c r="D873" t="s">
        <v>23</v>
      </c>
      <c r="E873" t="s">
        <v>30</v>
      </c>
      <c r="F873" t="s">
        <v>769</v>
      </c>
      <c r="G873" t="str">
        <f>VLOOKUP(F873,Hospitals!E:H,4,FALSE)</f>
        <v>30.37198 , 76.78537</v>
      </c>
      <c r="H873" s="1">
        <v>45492</v>
      </c>
      <c r="I873" s="1">
        <v>45493</v>
      </c>
      <c r="J873">
        <v>41.401000000000003</v>
      </c>
      <c r="K873">
        <v>41.42</v>
      </c>
      <c r="L873">
        <v>39.773000000000003</v>
      </c>
      <c r="M873">
        <v>52.941000000000003</v>
      </c>
      <c r="N873">
        <v>56.521999999999998</v>
      </c>
      <c r="O873">
        <v>56.521999999999998</v>
      </c>
      <c r="P873">
        <v>52.941000000000003</v>
      </c>
      <c r="Q873">
        <v>56.521999999999998</v>
      </c>
      <c r="R873">
        <v>56.521999999999998</v>
      </c>
      <c r="S873">
        <v>20</v>
      </c>
      <c r="T873">
        <v>16.667000000000002</v>
      </c>
      <c r="U873">
        <v>0</v>
      </c>
      <c r="V873">
        <f t="shared" si="39"/>
        <v>41.820750000000004</v>
      </c>
      <c r="W873">
        <f t="shared" si="40"/>
        <v>42.78275</v>
      </c>
      <c r="X873">
        <f t="shared" si="41"/>
        <v>38.204250000000002</v>
      </c>
      <c r="Y873">
        <v>13</v>
      </c>
      <c r="Z873" s="2" t="s">
        <v>26</v>
      </c>
    </row>
    <row r="874" spans="1:26" x14ac:dyDescent="0.25">
      <c r="A874">
        <v>909</v>
      </c>
      <c r="B874">
        <v>929</v>
      </c>
      <c r="C874" t="s">
        <v>22</v>
      </c>
      <c r="D874" t="s">
        <v>23</v>
      </c>
      <c r="E874" t="s">
        <v>30</v>
      </c>
      <c r="F874" t="s">
        <v>770</v>
      </c>
      <c r="G874" t="str">
        <f>VLOOKUP(F874,Hospitals!E:H,4,FALSE)</f>
        <v>30.80795 , 76.92397</v>
      </c>
      <c r="H874" s="1">
        <v>45490</v>
      </c>
      <c r="I874" s="1">
        <v>45490</v>
      </c>
      <c r="J874">
        <v>91.72</v>
      </c>
      <c r="K874">
        <v>89.941000000000003</v>
      </c>
      <c r="L874">
        <v>86.364000000000004</v>
      </c>
      <c r="M874">
        <v>88.234999999999999</v>
      </c>
      <c r="N874">
        <v>78.260999999999996</v>
      </c>
      <c r="O874">
        <v>78.260999999999996</v>
      </c>
      <c r="P874">
        <v>88.234999999999999</v>
      </c>
      <c r="Q874">
        <v>78.260999999999996</v>
      </c>
      <c r="R874">
        <v>78.260999999999996</v>
      </c>
      <c r="S874">
        <v>40</v>
      </c>
      <c r="T874">
        <v>16.667000000000002</v>
      </c>
      <c r="U874">
        <v>7.1429999999999998</v>
      </c>
      <c r="V874">
        <f t="shared" si="39"/>
        <v>77.047499999999999</v>
      </c>
      <c r="W874">
        <f t="shared" si="40"/>
        <v>65.782499999999999</v>
      </c>
      <c r="X874">
        <f t="shared" si="41"/>
        <v>62.507249999999999</v>
      </c>
      <c r="Y874">
        <v>13</v>
      </c>
      <c r="Z874" s="2" t="s">
        <v>26</v>
      </c>
    </row>
    <row r="875" spans="1:26" x14ac:dyDescent="0.25">
      <c r="A875">
        <v>891</v>
      </c>
      <c r="B875">
        <v>930</v>
      </c>
      <c r="C875" t="s">
        <v>22</v>
      </c>
      <c r="D875" t="s">
        <v>23</v>
      </c>
      <c r="E875" t="s">
        <v>30</v>
      </c>
      <c r="F875" t="s">
        <v>771</v>
      </c>
      <c r="G875" t="str">
        <f>VLOOKUP(F875,Hospitals!E:H,4,FALSE)</f>
        <v>30.3782 , 76.78776</v>
      </c>
      <c r="H875" s="1">
        <v>45492</v>
      </c>
      <c r="I875" s="1">
        <v>45492</v>
      </c>
      <c r="J875">
        <v>62.42</v>
      </c>
      <c r="K875">
        <v>60.354999999999997</v>
      </c>
      <c r="L875">
        <v>57.954999999999998</v>
      </c>
      <c r="M875">
        <v>47.058999999999997</v>
      </c>
      <c r="N875">
        <v>43.478000000000002</v>
      </c>
      <c r="O875">
        <v>43.478000000000002</v>
      </c>
      <c r="P875">
        <v>47.058999999999997</v>
      </c>
      <c r="Q875">
        <v>43.478000000000002</v>
      </c>
      <c r="R875">
        <v>43.478000000000002</v>
      </c>
      <c r="S875">
        <v>10</v>
      </c>
      <c r="T875">
        <v>0</v>
      </c>
      <c r="U875">
        <v>0</v>
      </c>
      <c r="V875">
        <f t="shared" si="39"/>
        <v>41.634500000000003</v>
      </c>
      <c r="W875">
        <f t="shared" si="40"/>
        <v>36.827750000000002</v>
      </c>
      <c r="X875">
        <f t="shared" si="41"/>
        <v>36.22775</v>
      </c>
      <c r="Y875">
        <v>13</v>
      </c>
      <c r="Z875" s="2" t="s">
        <v>26</v>
      </c>
    </row>
    <row r="876" spans="1:26" x14ac:dyDescent="0.25">
      <c r="A876">
        <v>921</v>
      </c>
      <c r="B876">
        <v>931</v>
      </c>
      <c r="C876" t="s">
        <v>22</v>
      </c>
      <c r="D876" t="s">
        <v>23</v>
      </c>
      <c r="E876" t="s">
        <v>30</v>
      </c>
      <c r="F876" t="s">
        <v>772</v>
      </c>
      <c r="G876" t="str">
        <f>VLOOKUP(F876,Hospitals!E:H,4,FALSE)</f>
        <v>30.37179 , 76.848</v>
      </c>
      <c r="H876" s="1">
        <v>45497</v>
      </c>
      <c r="I876" s="1">
        <v>45497</v>
      </c>
      <c r="J876">
        <v>61.146000000000001</v>
      </c>
      <c r="K876">
        <v>58.58</v>
      </c>
      <c r="L876">
        <v>56.817999999999998</v>
      </c>
      <c r="M876">
        <v>52.941000000000003</v>
      </c>
      <c r="N876">
        <v>39.130000000000003</v>
      </c>
      <c r="O876">
        <v>39.130000000000003</v>
      </c>
      <c r="P876">
        <v>52.941000000000003</v>
      </c>
      <c r="Q876">
        <v>39.130000000000003</v>
      </c>
      <c r="R876">
        <v>39.130000000000003</v>
      </c>
      <c r="S876">
        <v>20</v>
      </c>
      <c r="T876">
        <v>8.3330000000000002</v>
      </c>
      <c r="U876">
        <v>0</v>
      </c>
      <c r="V876">
        <f t="shared" si="39"/>
        <v>46.757000000000005</v>
      </c>
      <c r="W876">
        <f t="shared" si="40"/>
        <v>36.29325</v>
      </c>
      <c r="X876">
        <f t="shared" si="41"/>
        <v>33.769500000000001</v>
      </c>
      <c r="Y876">
        <v>13</v>
      </c>
      <c r="Z876" s="2" t="s">
        <v>26</v>
      </c>
    </row>
    <row r="877" spans="1:26" x14ac:dyDescent="0.25">
      <c r="A877">
        <v>946</v>
      </c>
      <c r="B877">
        <v>932</v>
      </c>
      <c r="C877" t="s">
        <v>22</v>
      </c>
      <c r="D877" t="s">
        <v>328</v>
      </c>
      <c r="E877" t="s">
        <v>24</v>
      </c>
      <c r="F877" t="s">
        <v>773</v>
      </c>
      <c r="G877" t="str">
        <f>VLOOKUP(F877,Hospitals!E:H,4,FALSE)</f>
        <v>28.76375 , 76.31995</v>
      </c>
      <c r="H877" s="1">
        <v>45537</v>
      </c>
      <c r="I877" s="1">
        <v>45537</v>
      </c>
      <c r="J877">
        <v>31.847000000000001</v>
      </c>
      <c r="K877">
        <v>29.585999999999999</v>
      </c>
      <c r="L877">
        <v>28.408999999999999</v>
      </c>
      <c r="M877">
        <v>17.646999999999998</v>
      </c>
      <c r="N877">
        <v>13.042999999999999</v>
      </c>
      <c r="O877">
        <v>13.042999999999999</v>
      </c>
      <c r="P877">
        <v>17.646999999999998</v>
      </c>
      <c r="Q877">
        <v>13.042999999999999</v>
      </c>
      <c r="R877">
        <v>13.042999999999999</v>
      </c>
      <c r="S877">
        <v>0</v>
      </c>
      <c r="T877">
        <v>0</v>
      </c>
      <c r="U877">
        <v>0</v>
      </c>
      <c r="V877">
        <f t="shared" si="39"/>
        <v>16.785249999999998</v>
      </c>
      <c r="W877">
        <f t="shared" si="40"/>
        <v>13.917999999999999</v>
      </c>
      <c r="X877">
        <f t="shared" si="41"/>
        <v>13.623749999999999</v>
      </c>
      <c r="Y877">
        <v>13</v>
      </c>
      <c r="Z877" s="2" t="s">
        <v>330</v>
      </c>
    </row>
    <row r="878" spans="1:26" x14ac:dyDescent="0.25">
      <c r="A878">
        <v>973</v>
      </c>
      <c r="B878">
        <v>933</v>
      </c>
      <c r="C878" t="s">
        <v>22</v>
      </c>
      <c r="D878" t="s">
        <v>328</v>
      </c>
      <c r="E878" t="s">
        <v>24</v>
      </c>
      <c r="F878" t="s">
        <v>774</v>
      </c>
      <c r="G878" t="str">
        <f>VLOOKUP(F878,Hospitals!E:H,4,FALSE)</f>
        <v>28.99308 , 77.01507</v>
      </c>
      <c r="H878" s="1">
        <v>45547</v>
      </c>
      <c r="I878" s="1">
        <v>45547</v>
      </c>
      <c r="J878">
        <v>24.841000000000001</v>
      </c>
      <c r="K878">
        <v>23.077000000000002</v>
      </c>
      <c r="L878">
        <v>22.158999999999999</v>
      </c>
      <c r="M878">
        <v>29.411999999999999</v>
      </c>
      <c r="N878">
        <v>21.739000000000001</v>
      </c>
      <c r="O878">
        <v>21.739000000000001</v>
      </c>
      <c r="P878">
        <v>29.411999999999999</v>
      </c>
      <c r="Q878">
        <v>21.739000000000001</v>
      </c>
      <c r="R878">
        <v>21.739000000000001</v>
      </c>
      <c r="S878">
        <v>0</v>
      </c>
      <c r="T878">
        <v>0</v>
      </c>
      <c r="U878">
        <v>0</v>
      </c>
      <c r="V878">
        <f t="shared" si="39"/>
        <v>20.916249999999998</v>
      </c>
      <c r="W878">
        <f t="shared" si="40"/>
        <v>16.638750000000002</v>
      </c>
      <c r="X878">
        <f t="shared" si="41"/>
        <v>16.40925</v>
      </c>
      <c r="Y878">
        <v>13</v>
      </c>
      <c r="Z878" s="2" t="s">
        <v>330</v>
      </c>
    </row>
    <row r="879" spans="1:26" x14ac:dyDescent="0.25">
      <c r="A879">
        <v>949</v>
      </c>
      <c r="B879">
        <v>934</v>
      </c>
      <c r="C879" t="s">
        <v>22</v>
      </c>
      <c r="D879" t="s">
        <v>328</v>
      </c>
      <c r="E879" t="s">
        <v>24</v>
      </c>
      <c r="F879" t="s">
        <v>775</v>
      </c>
      <c r="G879" t="str">
        <f>VLOOKUP(F879,Hospitals!E:H,4,FALSE)</f>
        <v>28.90345 , 76.57194</v>
      </c>
      <c r="H879" s="1">
        <v>45562</v>
      </c>
      <c r="I879" s="1">
        <v>45562</v>
      </c>
      <c r="J879">
        <v>21.655999999999999</v>
      </c>
      <c r="K879">
        <v>20.117999999999999</v>
      </c>
      <c r="L879">
        <v>19.318000000000001</v>
      </c>
      <c r="M879">
        <v>17.646999999999998</v>
      </c>
      <c r="N879">
        <v>13.042999999999999</v>
      </c>
      <c r="O879">
        <v>13.042999999999999</v>
      </c>
      <c r="P879">
        <v>17.646999999999998</v>
      </c>
      <c r="Q879">
        <v>13.042999999999999</v>
      </c>
      <c r="R879">
        <v>13.042999999999999</v>
      </c>
      <c r="S879">
        <v>10</v>
      </c>
      <c r="T879">
        <v>8.3330000000000002</v>
      </c>
      <c r="U879">
        <v>0</v>
      </c>
      <c r="V879">
        <f t="shared" si="39"/>
        <v>16.737499999999997</v>
      </c>
      <c r="W879">
        <f t="shared" si="40"/>
        <v>13.63425</v>
      </c>
      <c r="X879">
        <f t="shared" si="41"/>
        <v>11.351000000000001</v>
      </c>
      <c r="Y879">
        <v>13</v>
      </c>
      <c r="Z879" s="2" t="s">
        <v>330</v>
      </c>
    </row>
    <row r="880" spans="1:26" x14ac:dyDescent="0.25">
      <c r="A880">
        <v>1026</v>
      </c>
      <c r="B880">
        <v>935</v>
      </c>
      <c r="C880" t="s">
        <v>22</v>
      </c>
      <c r="D880" t="s">
        <v>328</v>
      </c>
      <c r="E880" t="s">
        <v>24</v>
      </c>
      <c r="F880" t="s">
        <v>172</v>
      </c>
      <c r="G880" t="str">
        <f>VLOOKUP(F880,Hospitals!E:H,4,FALSE)</f>
        <v>28.9668 , 75.95354</v>
      </c>
      <c r="H880" s="1">
        <v>45562</v>
      </c>
      <c r="I880" s="1">
        <v>45562</v>
      </c>
      <c r="J880">
        <v>30.573</v>
      </c>
      <c r="K880">
        <v>28.994</v>
      </c>
      <c r="L880">
        <v>27.841000000000001</v>
      </c>
      <c r="M880">
        <v>29.411999999999999</v>
      </c>
      <c r="N880">
        <v>21.739000000000001</v>
      </c>
      <c r="O880">
        <v>21.739000000000001</v>
      </c>
      <c r="P880">
        <v>29.411999999999999</v>
      </c>
      <c r="Q880">
        <v>21.739000000000001</v>
      </c>
      <c r="R880">
        <v>21.739000000000001</v>
      </c>
      <c r="S880">
        <v>0</v>
      </c>
      <c r="T880">
        <v>0</v>
      </c>
      <c r="U880">
        <v>0</v>
      </c>
      <c r="V880">
        <f t="shared" si="39"/>
        <v>22.349249999999998</v>
      </c>
      <c r="W880">
        <f t="shared" si="40"/>
        <v>18.118000000000002</v>
      </c>
      <c r="X880">
        <f t="shared" si="41"/>
        <v>17.829750000000001</v>
      </c>
      <c r="Y880">
        <v>13</v>
      </c>
      <c r="Z880" s="2" t="s">
        <v>330</v>
      </c>
    </row>
    <row r="881" spans="1:26" x14ac:dyDescent="0.25">
      <c r="A881">
        <v>959</v>
      </c>
      <c r="B881">
        <v>936</v>
      </c>
      <c r="C881" t="s">
        <v>22</v>
      </c>
      <c r="D881" t="s">
        <v>328</v>
      </c>
      <c r="E881" t="s">
        <v>24</v>
      </c>
      <c r="F881" t="s">
        <v>776</v>
      </c>
      <c r="G881" t="str">
        <f>VLOOKUP(F881,Hospitals!E:H,4,FALSE)</f>
        <v>28.99308 , 77.01507</v>
      </c>
      <c r="H881" s="1">
        <v>45517</v>
      </c>
      <c r="I881" t="s">
        <v>35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f t="shared" si="39"/>
        <v>0</v>
      </c>
      <c r="W881">
        <f t="shared" si="40"/>
        <v>0</v>
      </c>
      <c r="X881">
        <f t="shared" si="41"/>
        <v>0</v>
      </c>
      <c r="Y881">
        <v>13</v>
      </c>
      <c r="Z881" s="2" t="s">
        <v>330</v>
      </c>
    </row>
    <row r="882" spans="1:26" x14ac:dyDescent="0.25">
      <c r="A882">
        <v>920</v>
      </c>
      <c r="B882">
        <v>937</v>
      </c>
      <c r="C882" t="s">
        <v>22</v>
      </c>
      <c r="D882" t="s">
        <v>328</v>
      </c>
      <c r="E882" t="s">
        <v>62</v>
      </c>
      <c r="F882" t="s">
        <v>777</v>
      </c>
      <c r="G882" t="e">
        <f>VLOOKUP(F882,Hospitals!E:H,4,FALSE)</f>
        <v>#N/A</v>
      </c>
      <c r="H882" s="1">
        <v>45495</v>
      </c>
      <c r="I882" t="s">
        <v>35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f t="shared" si="39"/>
        <v>0</v>
      </c>
      <c r="W882">
        <f t="shared" si="40"/>
        <v>0</v>
      </c>
      <c r="X882">
        <f t="shared" si="41"/>
        <v>0</v>
      </c>
      <c r="Y882">
        <v>13</v>
      </c>
      <c r="Z882" s="2" t="s">
        <v>330</v>
      </c>
    </row>
    <row r="883" spans="1:26" x14ac:dyDescent="0.25">
      <c r="A883">
        <v>957</v>
      </c>
      <c r="B883">
        <v>939</v>
      </c>
      <c r="C883" t="s">
        <v>22</v>
      </c>
      <c r="D883" t="s">
        <v>328</v>
      </c>
      <c r="E883" t="s">
        <v>27</v>
      </c>
      <c r="F883" t="s">
        <v>778</v>
      </c>
      <c r="G883" t="str">
        <f>VLOOKUP(F883,Hospitals!E:H,4,FALSE)</f>
        <v>30.65002 , 77.08529</v>
      </c>
      <c r="H883" s="1">
        <v>45563</v>
      </c>
      <c r="I883" s="1">
        <v>45563</v>
      </c>
      <c r="J883">
        <v>45.86</v>
      </c>
      <c r="K883">
        <v>42.603999999999999</v>
      </c>
      <c r="L883">
        <v>40.908999999999999</v>
      </c>
      <c r="M883">
        <v>11.765000000000001</v>
      </c>
      <c r="N883">
        <v>8.6959999999999997</v>
      </c>
      <c r="O883">
        <v>8.6959999999999997</v>
      </c>
      <c r="P883">
        <v>11.765000000000001</v>
      </c>
      <c r="Q883">
        <v>8.6959999999999997</v>
      </c>
      <c r="R883">
        <v>8.6959999999999997</v>
      </c>
      <c r="S883">
        <v>0</v>
      </c>
      <c r="T883">
        <v>0</v>
      </c>
      <c r="U883">
        <v>0</v>
      </c>
      <c r="V883">
        <f t="shared" si="39"/>
        <v>17.3475</v>
      </c>
      <c r="W883">
        <f t="shared" si="40"/>
        <v>14.998999999999999</v>
      </c>
      <c r="X883">
        <f t="shared" si="41"/>
        <v>14.575249999999999</v>
      </c>
      <c r="Y883">
        <v>13</v>
      </c>
      <c r="Z883" s="2" t="s">
        <v>330</v>
      </c>
    </row>
    <row r="884" spans="1:26" x14ac:dyDescent="0.25">
      <c r="A884">
        <v>1137</v>
      </c>
      <c r="B884">
        <v>94</v>
      </c>
      <c r="C884" t="s">
        <v>22</v>
      </c>
      <c r="D884" t="s">
        <v>29</v>
      </c>
      <c r="E884" t="s">
        <v>77</v>
      </c>
      <c r="F884" t="s">
        <v>779</v>
      </c>
      <c r="G884" t="str">
        <f>VLOOKUP(F884,Hospitals!E:H,4,FALSE)</f>
        <v>28.34568 , 76.76141</v>
      </c>
      <c r="H884" s="1">
        <v>45677</v>
      </c>
      <c r="I884" s="1">
        <v>45677</v>
      </c>
      <c r="J884">
        <v>34.395000000000003</v>
      </c>
      <c r="K884">
        <v>31.952999999999999</v>
      </c>
      <c r="L884">
        <v>30.681999999999999</v>
      </c>
      <c r="M884">
        <v>29.411999999999999</v>
      </c>
      <c r="N884">
        <v>21.739000000000001</v>
      </c>
      <c r="O884">
        <v>21.739000000000001</v>
      </c>
      <c r="P884">
        <v>29.411999999999999</v>
      </c>
      <c r="Q884">
        <v>21.739000000000001</v>
      </c>
      <c r="R884">
        <v>21.739000000000001</v>
      </c>
      <c r="S884">
        <v>0</v>
      </c>
      <c r="T884">
        <v>0</v>
      </c>
      <c r="U884">
        <v>0</v>
      </c>
      <c r="V884">
        <f t="shared" si="39"/>
        <v>23.304749999999999</v>
      </c>
      <c r="W884">
        <f t="shared" si="40"/>
        <v>18.857749999999999</v>
      </c>
      <c r="X884">
        <f t="shared" si="41"/>
        <v>18.54</v>
      </c>
      <c r="Y884">
        <v>13</v>
      </c>
      <c r="Z884" s="2" t="s">
        <v>31</v>
      </c>
    </row>
    <row r="885" spans="1:26" x14ac:dyDescent="0.25">
      <c r="A885">
        <v>1147</v>
      </c>
      <c r="B885">
        <v>94</v>
      </c>
      <c r="C885" t="s">
        <v>22</v>
      </c>
      <c r="D885" t="s">
        <v>29</v>
      </c>
      <c r="E885" t="s">
        <v>77</v>
      </c>
      <c r="F885" t="s">
        <v>779</v>
      </c>
      <c r="G885" t="str">
        <f>VLOOKUP(F885,Hospitals!E:H,4,FALSE)</f>
        <v>28.34568 , 76.76141</v>
      </c>
      <c r="H885" s="1">
        <v>45679</v>
      </c>
      <c r="I885" s="1">
        <v>45679</v>
      </c>
      <c r="J885">
        <v>40.764000000000003</v>
      </c>
      <c r="K885">
        <v>37.869999999999997</v>
      </c>
      <c r="L885">
        <v>36.363999999999997</v>
      </c>
      <c r="M885">
        <v>29.411999999999999</v>
      </c>
      <c r="N885">
        <v>21.739000000000001</v>
      </c>
      <c r="O885">
        <v>21.739000000000001</v>
      </c>
      <c r="P885">
        <v>29.411999999999999</v>
      </c>
      <c r="Q885">
        <v>21.739000000000001</v>
      </c>
      <c r="R885">
        <v>21.739000000000001</v>
      </c>
      <c r="S885">
        <v>0</v>
      </c>
      <c r="T885">
        <v>0</v>
      </c>
      <c r="U885">
        <v>0</v>
      </c>
      <c r="V885">
        <f t="shared" si="39"/>
        <v>24.896999999999998</v>
      </c>
      <c r="W885">
        <f t="shared" si="40"/>
        <v>20.337</v>
      </c>
      <c r="X885">
        <f t="shared" si="41"/>
        <v>19.9605</v>
      </c>
      <c r="Y885">
        <v>13</v>
      </c>
      <c r="Z885" s="2" t="s">
        <v>31</v>
      </c>
    </row>
    <row r="886" spans="1:26" x14ac:dyDescent="0.25">
      <c r="A886">
        <v>1134</v>
      </c>
      <c r="B886">
        <v>94</v>
      </c>
      <c r="C886" t="s">
        <v>22</v>
      </c>
      <c r="D886" t="s">
        <v>29</v>
      </c>
      <c r="E886" t="s">
        <v>77</v>
      </c>
      <c r="F886" t="s">
        <v>779</v>
      </c>
      <c r="G886" t="str">
        <f>VLOOKUP(F886,Hospitals!E:H,4,FALSE)</f>
        <v>28.34568 , 76.76141</v>
      </c>
      <c r="H886" s="1">
        <v>45677</v>
      </c>
      <c r="I886" s="1">
        <v>45677</v>
      </c>
      <c r="J886">
        <v>34.395000000000003</v>
      </c>
      <c r="K886">
        <v>31.952999999999999</v>
      </c>
      <c r="L886">
        <v>30.681999999999999</v>
      </c>
      <c r="M886">
        <v>29.411999999999999</v>
      </c>
      <c r="N886">
        <v>21.739000000000001</v>
      </c>
      <c r="O886">
        <v>21.739000000000001</v>
      </c>
      <c r="P886">
        <v>29.411999999999999</v>
      </c>
      <c r="Q886">
        <v>21.739000000000001</v>
      </c>
      <c r="R886">
        <v>21.739000000000001</v>
      </c>
      <c r="S886">
        <v>0</v>
      </c>
      <c r="T886">
        <v>0</v>
      </c>
      <c r="U886">
        <v>0</v>
      </c>
      <c r="V886">
        <f t="shared" si="39"/>
        <v>23.304749999999999</v>
      </c>
      <c r="W886">
        <f t="shared" si="40"/>
        <v>18.857749999999999</v>
      </c>
      <c r="X886">
        <f t="shared" si="41"/>
        <v>18.54</v>
      </c>
      <c r="Y886">
        <v>13</v>
      </c>
      <c r="Z886" s="2" t="s">
        <v>31</v>
      </c>
    </row>
    <row r="887" spans="1:26" x14ac:dyDescent="0.25">
      <c r="A887">
        <v>1145</v>
      </c>
      <c r="B887">
        <v>94</v>
      </c>
      <c r="C887" t="s">
        <v>22</v>
      </c>
      <c r="D887" t="s">
        <v>29</v>
      </c>
      <c r="E887" t="s">
        <v>77</v>
      </c>
      <c r="F887" t="s">
        <v>779</v>
      </c>
      <c r="G887" t="str">
        <f>VLOOKUP(F887,Hospitals!E:H,4,FALSE)</f>
        <v>28.34568 , 76.76141</v>
      </c>
      <c r="H887" s="1">
        <v>45678</v>
      </c>
      <c r="I887" s="1">
        <v>45678</v>
      </c>
      <c r="J887">
        <v>34.395000000000003</v>
      </c>
      <c r="K887">
        <v>31.952999999999999</v>
      </c>
      <c r="L887">
        <v>30.681999999999999</v>
      </c>
      <c r="M887">
        <v>29.411999999999999</v>
      </c>
      <c r="N887">
        <v>21.739000000000001</v>
      </c>
      <c r="O887">
        <v>21.739000000000001</v>
      </c>
      <c r="P887">
        <v>29.411999999999999</v>
      </c>
      <c r="Q887">
        <v>21.739000000000001</v>
      </c>
      <c r="R887">
        <v>21.739000000000001</v>
      </c>
      <c r="S887">
        <v>0</v>
      </c>
      <c r="T887">
        <v>0</v>
      </c>
      <c r="U887">
        <v>0</v>
      </c>
      <c r="V887">
        <f t="shared" si="39"/>
        <v>23.304749999999999</v>
      </c>
      <c r="W887">
        <f t="shared" si="40"/>
        <v>18.857749999999999</v>
      </c>
      <c r="X887">
        <f t="shared" si="41"/>
        <v>18.54</v>
      </c>
      <c r="Y887">
        <v>13</v>
      </c>
      <c r="Z887" s="2" t="s">
        <v>31</v>
      </c>
    </row>
    <row r="888" spans="1:26" x14ac:dyDescent="0.25">
      <c r="A888">
        <v>1140</v>
      </c>
      <c r="B888">
        <v>94</v>
      </c>
      <c r="C888" t="s">
        <v>22</v>
      </c>
      <c r="D888" t="s">
        <v>29</v>
      </c>
      <c r="E888" t="s">
        <v>77</v>
      </c>
      <c r="F888" t="s">
        <v>779</v>
      </c>
      <c r="G888" t="str">
        <f>VLOOKUP(F888,Hospitals!E:H,4,FALSE)</f>
        <v>28.34568 , 76.76141</v>
      </c>
      <c r="H888" s="1">
        <v>45678</v>
      </c>
      <c r="I888" s="1">
        <v>45678</v>
      </c>
      <c r="J888">
        <v>34.395000000000003</v>
      </c>
      <c r="K888">
        <v>31.952999999999999</v>
      </c>
      <c r="L888">
        <v>30.681999999999999</v>
      </c>
      <c r="M888">
        <v>29.411999999999999</v>
      </c>
      <c r="N888">
        <v>21.739000000000001</v>
      </c>
      <c r="O888">
        <v>21.739000000000001</v>
      </c>
      <c r="P888">
        <v>29.411999999999999</v>
      </c>
      <c r="Q888">
        <v>21.739000000000001</v>
      </c>
      <c r="R888">
        <v>21.739000000000001</v>
      </c>
      <c r="S888">
        <v>0</v>
      </c>
      <c r="T888">
        <v>0</v>
      </c>
      <c r="U888">
        <v>0</v>
      </c>
      <c r="V888">
        <f t="shared" si="39"/>
        <v>23.304749999999999</v>
      </c>
      <c r="W888">
        <f t="shared" si="40"/>
        <v>18.857749999999999</v>
      </c>
      <c r="X888">
        <f t="shared" si="41"/>
        <v>18.54</v>
      </c>
      <c r="Y888">
        <v>13</v>
      </c>
      <c r="Z888" s="2" t="s">
        <v>31</v>
      </c>
    </row>
    <row r="889" spans="1:26" x14ac:dyDescent="0.25">
      <c r="A889">
        <v>1144</v>
      </c>
      <c r="B889">
        <v>94</v>
      </c>
      <c r="C889" t="s">
        <v>22</v>
      </c>
      <c r="D889" t="s">
        <v>29</v>
      </c>
      <c r="E889" t="s">
        <v>77</v>
      </c>
      <c r="F889" t="s">
        <v>779</v>
      </c>
      <c r="G889" t="str">
        <f>VLOOKUP(F889,Hospitals!E:H,4,FALSE)</f>
        <v>28.34568 , 76.76141</v>
      </c>
      <c r="H889" s="1">
        <v>45678</v>
      </c>
      <c r="I889" s="1">
        <v>45678</v>
      </c>
      <c r="J889">
        <v>34.395000000000003</v>
      </c>
      <c r="K889">
        <v>31.952999999999999</v>
      </c>
      <c r="L889">
        <v>30.681999999999999</v>
      </c>
      <c r="M889">
        <v>29.411999999999999</v>
      </c>
      <c r="N889">
        <v>21.739000000000001</v>
      </c>
      <c r="O889">
        <v>21.739000000000001</v>
      </c>
      <c r="P889">
        <v>29.411999999999999</v>
      </c>
      <c r="Q889">
        <v>21.739000000000001</v>
      </c>
      <c r="R889">
        <v>21.739000000000001</v>
      </c>
      <c r="S889">
        <v>0</v>
      </c>
      <c r="T889">
        <v>0</v>
      </c>
      <c r="U889">
        <v>0</v>
      </c>
      <c r="V889">
        <f t="shared" si="39"/>
        <v>23.304749999999999</v>
      </c>
      <c r="W889">
        <f t="shared" si="40"/>
        <v>18.857749999999999</v>
      </c>
      <c r="X889">
        <f t="shared" si="41"/>
        <v>18.54</v>
      </c>
      <c r="Y889">
        <v>13</v>
      </c>
      <c r="Z889" s="2" t="s">
        <v>31</v>
      </c>
    </row>
    <row r="890" spans="1:26" x14ac:dyDescent="0.25">
      <c r="A890">
        <v>1136</v>
      </c>
      <c r="B890">
        <v>94</v>
      </c>
      <c r="C890" t="s">
        <v>22</v>
      </c>
      <c r="D890" t="s">
        <v>29</v>
      </c>
      <c r="E890" t="s">
        <v>77</v>
      </c>
      <c r="F890" t="s">
        <v>779</v>
      </c>
      <c r="G890" t="str">
        <f>VLOOKUP(F890,Hospitals!E:H,4,FALSE)</f>
        <v>28.34568 , 76.76141</v>
      </c>
      <c r="H890" s="1">
        <v>45677</v>
      </c>
      <c r="I890" s="1">
        <v>45677</v>
      </c>
      <c r="J890">
        <v>34.395000000000003</v>
      </c>
      <c r="K890">
        <v>31.952999999999999</v>
      </c>
      <c r="L890">
        <v>30.681999999999999</v>
      </c>
      <c r="M890">
        <v>29.411999999999999</v>
      </c>
      <c r="N890">
        <v>21.739000000000001</v>
      </c>
      <c r="O890">
        <v>21.739000000000001</v>
      </c>
      <c r="P890">
        <v>29.411999999999999</v>
      </c>
      <c r="Q890">
        <v>21.739000000000001</v>
      </c>
      <c r="R890">
        <v>21.739000000000001</v>
      </c>
      <c r="S890">
        <v>0</v>
      </c>
      <c r="T890">
        <v>0</v>
      </c>
      <c r="U890">
        <v>0</v>
      </c>
      <c r="V890">
        <f t="shared" si="39"/>
        <v>23.304749999999999</v>
      </c>
      <c r="W890">
        <f t="shared" si="40"/>
        <v>18.857749999999999</v>
      </c>
      <c r="X890">
        <f t="shared" si="41"/>
        <v>18.54</v>
      </c>
      <c r="Y890">
        <v>13</v>
      </c>
      <c r="Z890" s="2" t="s">
        <v>31</v>
      </c>
    </row>
    <row r="891" spans="1:26" x14ac:dyDescent="0.25">
      <c r="A891">
        <v>1122</v>
      </c>
      <c r="B891">
        <v>94</v>
      </c>
      <c r="C891" t="s">
        <v>22</v>
      </c>
      <c r="D891" t="s">
        <v>29</v>
      </c>
      <c r="E891" t="s">
        <v>77</v>
      </c>
      <c r="F891" t="s">
        <v>779</v>
      </c>
      <c r="G891" t="str">
        <f>VLOOKUP(F891,Hospitals!E:H,4,FALSE)</f>
        <v>28.34568 , 76.76141</v>
      </c>
      <c r="H891" s="1">
        <v>45674</v>
      </c>
      <c r="I891" s="1">
        <v>45675</v>
      </c>
      <c r="J891">
        <v>37.58</v>
      </c>
      <c r="K891">
        <v>34.911000000000001</v>
      </c>
      <c r="L891">
        <v>33.523000000000003</v>
      </c>
      <c r="M891">
        <v>29.411999999999999</v>
      </c>
      <c r="N891">
        <v>21.739000000000001</v>
      </c>
      <c r="O891">
        <v>21.739000000000001</v>
      </c>
      <c r="P891">
        <v>29.411999999999999</v>
      </c>
      <c r="Q891">
        <v>21.739000000000001</v>
      </c>
      <c r="R891">
        <v>21.739000000000001</v>
      </c>
      <c r="S891">
        <v>0</v>
      </c>
      <c r="T891">
        <v>0</v>
      </c>
      <c r="U891">
        <v>0</v>
      </c>
      <c r="V891">
        <f t="shared" si="39"/>
        <v>24.100999999999999</v>
      </c>
      <c r="W891">
        <f t="shared" si="40"/>
        <v>19.597250000000003</v>
      </c>
      <c r="X891">
        <f t="shared" si="41"/>
        <v>19.250250000000001</v>
      </c>
      <c r="Y891">
        <v>13</v>
      </c>
      <c r="Z891" s="2" t="s">
        <v>31</v>
      </c>
    </row>
    <row r="892" spans="1:26" x14ac:dyDescent="0.25">
      <c r="A892">
        <v>1139</v>
      </c>
      <c r="B892">
        <v>94</v>
      </c>
      <c r="C892" t="s">
        <v>22</v>
      </c>
      <c r="D892" t="s">
        <v>29</v>
      </c>
      <c r="E892" t="s">
        <v>77</v>
      </c>
      <c r="F892" t="s">
        <v>779</v>
      </c>
      <c r="G892" t="str">
        <f>VLOOKUP(F892,Hospitals!E:H,4,FALSE)</f>
        <v>28.34568 , 76.76141</v>
      </c>
      <c r="H892" s="1">
        <v>45677</v>
      </c>
      <c r="I892" s="1">
        <v>45677</v>
      </c>
      <c r="J892">
        <v>34.395000000000003</v>
      </c>
      <c r="K892">
        <v>31.952999999999999</v>
      </c>
      <c r="L892">
        <v>30.681999999999999</v>
      </c>
      <c r="M892">
        <v>29.411999999999999</v>
      </c>
      <c r="N892">
        <v>21.739000000000001</v>
      </c>
      <c r="O892">
        <v>21.739000000000001</v>
      </c>
      <c r="P892">
        <v>29.411999999999999</v>
      </c>
      <c r="Q892">
        <v>21.739000000000001</v>
      </c>
      <c r="R892">
        <v>21.739000000000001</v>
      </c>
      <c r="S892">
        <v>0</v>
      </c>
      <c r="T892">
        <v>0</v>
      </c>
      <c r="U892">
        <v>0</v>
      </c>
      <c r="V892">
        <f t="shared" si="39"/>
        <v>23.304749999999999</v>
      </c>
      <c r="W892">
        <f t="shared" si="40"/>
        <v>18.857749999999999</v>
      </c>
      <c r="X892">
        <f t="shared" si="41"/>
        <v>18.54</v>
      </c>
      <c r="Y892">
        <v>13</v>
      </c>
      <c r="Z892" s="2" t="s">
        <v>31</v>
      </c>
    </row>
    <row r="893" spans="1:26" x14ac:dyDescent="0.25">
      <c r="A893">
        <v>1133</v>
      </c>
      <c r="B893">
        <v>94</v>
      </c>
      <c r="C893" t="s">
        <v>22</v>
      </c>
      <c r="D893" t="s">
        <v>29</v>
      </c>
      <c r="E893" t="s">
        <v>77</v>
      </c>
      <c r="F893" t="s">
        <v>779</v>
      </c>
      <c r="G893" t="str">
        <f>VLOOKUP(F893,Hospitals!E:H,4,FALSE)</f>
        <v>28.34568 , 76.76141</v>
      </c>
      <c r="H893" s="1">
        <v>45675</v>
      </c>
      <c r="I893" s="1">
        <v>45675</v>
      </c>
      <c r="J893">
        <v>37.58</v>
      </c>
      <c r="K893">
        <v>34.911000000000001</v>
      </c>
      <c r="L893">
        <v>33.523000000000003</v>
      </c>
      <c r="M893">
        <v>29.411999999999999</v>
      </c>
      <c r="N893">
        <v>21.739000000000001</v>
      </c>
      <c r="O893">
        <v>21.739000000000001</v>
      </c>
      <c r="P893">
        <v>29.411999999999999</v>
      </c>
      <c r="Q893">
        <v>21.739000000000001</v>
      </c>
      <c r="R893">
        <v>21.739000000000001</v>
      </c>
      <c r="S893">
        <v>0</v>
      </c>
      <c r="T893">
        <v>0</v>
      </c>
      <c r="U893">
        <v>0</v>
      </c>
      <c r="V893">
        <f t="shared" si="39"/>
        <v>24.100999999999999</v>
      </c>
      <c r="W893">
        <f t="shared" si="40"/>
        <v>19.597250000000003</v>
      </c>
      <c r="X893">
        <f t="shared" si="41"/>
        <v>19.250250000000001</v>
      </c>
      <c r="Y893">
        <v>13</v>
      </c>
      <c r="Z893" s="2" t="s">
        <v>31</v>
      </c>
    </row>
    <row r="894" spans="1:26" x14ac:dyDescent="0.25">
      <c r="A894">
        <v>1132</v>
      </c>
      <c r="B894">
        <v>94</v>
      </c>
      <c r="C894" t="s">
        <v>22</v>
      </c>
      <c r="D894" t="s">
        <v>29</v>
      </c>
      <c r="E894" t="s">
        <v>77</v>
      </c>
      <c r="F894" t="s">
        <v>779</v>
      </c>
      <c r="G894" t="str">
        <f>VLOOKUP(F894,Hospitals!E:H,4,FALSE)</f>
        <v>28.34568 , 76.76141</v>
      </c>
      <c r="H894" s="1">
        <v>45675</v>
      </c>
      <c r="I894" s="1">
        <v>45675</v>
      </c>
      <c r="J894">
        <v>37.58</v>
      </c>
      <c r="K894">
        <v>34.911000000000001</v>
      </c>
      <c r="L894">
        <v>33.523000000000003</v>
      </c>
      <c r="M894">
        <v>29.411999999999999</v>
      </c>
      <c r="N894">
        <v>21.739000000000001</v>
      </c>
      <c r="O894">
        <v>21.739000000000001</v>
      </c>
      <c r="P894">
        <v>29.411999999999999</v>
      </c>
      <c r="Q894">
        <v>21.739000000000001</v>
      </c>
      <c r="R894">
        <v>21.739000000000001</v>
      </c>
      <c r="S894">
        <v>0</v>
      </c>
      <c r="T894">
        <v>0</v>
      </c>
      <c r="U894">
        <v>0</v>
      </c>
      <c r="V894">
        <f t="shared" si="39"/>
        <v>24.100999999999999</v>
      </c>
      <c r="W894">
        <f t="shared" si="40"/>
        <v>19.597250000000003</v>
      </c>
      <c r="X894">
        <f t="shared" si="41"/>
        <v>19.250250000000001</v>
      </c>
      <c r="Y894">
        <v>13</v>
      </c>
      <c r="Z894" s="2" t="s">
        <v>31</v>
      </c>
    </row>
    <row r="895" spans="1:26" x14ac:dyDescent="0.25">
      <c r="A895">
        <v>1143</v>
      </c>
      <c r="B895">
        <v>94</v>
      </c>
      <c r="C895" t="s">
        <v>22</v>
      </c>
      <c r="D895" t="s">
        <v>29</v>
      </c>
      <c r="E895" t="s">
        <v>77</v>
      </c>
      <c r="F895" t="s">
        <v>779</v>
      </c>
      <c r="G895" t="str">
        <f>VLOOKUP(F895,Hospitals!E:H,4,FALSE)</f>
        <v>28.34568 , 76.76141</v>
      </c>
      <c r="H895" s="1">
        <v>45678</v>
      </c>
      <c r="I895" s="1">
        <v>45678</v>
      </c>
      <c r="J895">
        <v>34.395000000000003</v>
      </c>
      <c r="K895">
        <v>31.952999999999999</v>
      </c>
      <c r="L895">
        <v>30.681999999999999</v>
      </c>
      <c r="M895">
        <v>29.411999999999999</v>
      </c>
      <c r="N895">
        <v>21.739000000000001</v>
      </c>
      <c r="O895">
        <v>21.739000000000001</v>
      </c>
      <c r="P895">
        <v>29.411999999999999</v>
      </c>
      <c r="Q895">
        <v>21.739000000000001</v>
      </c>
      <c r="R895">
        <v>21.739000000000001</v>
      </c>
      <c r="S895">
        <v>0</v>
      </c>
      <c r="T895">
        <v>0</v>
      </c>
      <c r="U895">
        <v>0</v>
      </c>
      <c r="V895">
        <f t="shared" si="39"/>
        <v>23.304749999999999</v>
      </c>
      <c r="W895">
        <f t="shared" si="40"/>
        <v>18.857749999999999</v>
      </c>
      <c r="X895">
        <f t="shared" si="41"/>
        <v>18.54</v>
      </c>
      <c r="Y895">
        <v>13</v>
      </c>
      <c r="Z895" s="2" t="s">
        <v>31</v>
      </c>
    </row>
    <row r="896" spans="1:26" x14ac:dyDescent="0.25">
      <c r="A896">
        <v>958</v>
      </c>
      <c r="B896">
        <v>940</v>
      </c>
      <c r="C896" t="s">
        <v>22</v>
      </c>
      <c r="D896" t="s">
        <v>328</v>
      </c>
      <c r="E896" t="s">
        <v>27</v>
      </c>
      <c r="F896" t="s">
        <v>780</v>
      </c>
      <c r="G896" t="str">
        <f>VLOOKUP(F896,Hospitals!E:H,4,FALSE)</f>
        <v>28.80963 , 75.6908</v>
      </c>
      <c r="H896" s="1">
        <v>45546</v>
      </c>
      <c r="I896" s="1">
        <v>45546</v>
      </c>
      <c r="J896">
        <v>45.86</v>
      </c>
      <c r="K896">
        <v>43.195</v>
      </c>
      <c r="L896">
        <v>41.476999999999997</v>
      </c>
      <c r="M896">
        <v>35.293999999999997</v>
      </c>
      <c r="N896">
        <v>26.087</v>
      </c>
      <c r="O896">
        <v>26.087</v>
      </c>
      <c r="P896">
        <v>35.293999999999997</v>
      </c>
      <c r="Q896">
        <v>26.087</v>
      </c>
      <c r="R896">
        <v>26.087</v>
      </c>
      <c r="S896">
        <v>0</v>
      </c>
      <c r="T896">
        <v>0</v>
      </c>
      <c r="U896">
        <v>0</v>
      </c>
      <c r="V896">
        <f t="shared" si="39"/>
        <v>29.111999999999998</v>
      </c>
      <c r="W896">
        <f t="shared" si="40"/>
        <v>23.84225</v>
      </c>
      <c r="X896">
        <f t="shared" si="41"/>
        <v>23.412749999999999</v>
      </c>
      <c r="Y896">
        <v>13</v>
      </c>
      <c r="Z896" s="2" t="s">
        <v>330</v>
      </c>
    </row>
    <row r="897" spans="1:26" x14ac:dyDescent="0.25">
      <c r="A897">
        <v>939</v>
      </c>
      <c r="B897">
        <v>941</v>
      </c>
      <c r="C897" t="s">
        <v>22</v>
      </c>
      <c r="D897" t="s">
        <v>328</v>
      </c>
      <c r="E897" t="s">
        <v>27</v>
      </c>
      <c r="F897" t="s">
        <v>781</v>
      </c>
      <c r="G897" t="str">
        <f>VLOOKUP(F897,Hospitals!E:H,4,FALSE)</f>
        <v>28.99308 , 77.01507</v>
      </c>
      <c r="H897" s="1">
        <v>45544</v>
      </c>
      <c r="I897" s="1">
        <v>45544</v>
      </c>
      <c r="J897">
        <v>27.388999999999999</v>
      </c>
      <c r="K897">
        <v>25.443999999999999</v>
      </c>
      <c r="L897">
        <v>24.431999999999999</v>
      </c>
      <c r="M897">
        <v>23.529</v>
      </c>
      <c r="N897">
        <v>17.390999999999998</v>
      </c>
      <c r="O897">
        <v>17.390999999999998</v>
      </c>
      <c r="P897">
        <v>23.529</v>
      </c>
      <c r="Q897">
        <v>17.390999999999998</v>
      </c>
      <c r="R897">
        <v>17.390999999999998</v>
      </c>
      <c r="S897">
        <v>0</v>
      </c>
      <c r="T897">
        <v>0</v>
      </c>
      <c r="U897">
        <v>0</v>
      </c>
      <c r="V897">
        <f t="shared" si="39"/>
        <v>18.611750000000001</v>
      </c>
      <c r="W897">
        <f t="shared" si="40"/>
        <v>15.056499999999998</v>
      </c>
      <c r="X897">
        <f t="shared" si="41"/>
        <v>14.803499999999998</v>
      </c>
      <c r="Y897">
        <v>13</v>
      </c>
      <c r="Z897" s="2" t="s">
        <v>330</v>
      </c>
    </row>
    <row r="898" spans="1:26" x14ac:dyDescent="0.25">
      <c r="A898">
        <v>938</v>
      </c>
      <c r="B898">
        <v>942</v>
      </c>
      <c r="C898" t="s">
        <v>22</v>
      </c>
      <c r="D898" t="s">
        <v>328</v>
      </c>
      <c r="E898" t="s">
        <v>27</v>
      </c>
      <c r="F898" t="s">
        <v>782</v>
      </c>
      <c r="G898" t="str">
        <f>VLOOKUP(F898,Hospitals!E:H,4,FALSE)</f>
        <v>28.79819 , 76.12039</v>
      </c>
      <c r="H898" s="1">
        <v>45566</v>
      </c>
      <c r="I898" s="1">
        <v>45566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f t="shared" si="39"/>
        <v>0</v>
      </c>
      <c r="W898">
        <f t="shared" si="40"/>
        <v>0</v>
      </c>
      <c r="X898">
        <f t="shared" si="41"/>
        <v>0</v>
      </c>
      <c r="Y898">
        <v>13</v>
      </c>
      <c r="Z898" s="2" t="s">
        <v>330</v>
      </c>
    </row>
    <row r="899" spans="1:26" x14ac:dyDescent="0.25">
      <c r="A899">
        <v>942</v>
      </c>
      <c r="B899">
        <v>943</v>
      </c>
      <c r="C899" t="s">
        <v>22</v>
      </c>
      <c r="D899" t="s">
        <v>328</v>
      </c>
      <c r="E899" t="s">
        <v>27</v>
      </c>
      <c r="F899" t="s">
        <v>783</v>
      </c>
      <c r="G899" t="str">
        <f>VLOOKUP(F899,Hospitals!E:H,4,FALSE)</f>
        <v>28.7998 , 76.22492</v>
      </c>
      <c r="H899" s="1">
        <v>45563</v>
      </c>
      <c r="I899" t="s">
        <v>35</v>
      </c>
      <c r="J899">
        <v>28.661999999999999</v>
      </c>
      <c r="K899">
        <v>26.626999999999999</v>
      </c>
      <c r="L899">
        <v>25.568000000000001</v>
      </c>
      <c r="M899">
        <v>35.293999999999997</v>
      </c>
      <c r="N899">
        <v>26.087</v>
      </c>
      <c r="O899">
        <v>26.087</v>
      </c>
      <c r="P899">
        <v>35.293999999999997</v>
      </c>
      <c r="Q899">
        <v>26.087</v>
      </c>
      <c r="R899">
        <v>26.087</v>
      </c>
      <c r="S899">
        <v>0</v>
      </c>
      <c r="T899">
        <v>0</v>
      </c>
      <c r="U899">
        <v>0</v>
      </c>
      <c r="V899">
        <f t="shared" ref="V899:V955" si="42">AVERAGE(J899,M899,P899,S899)</f>
        <v>24.8125</v>
      </c>
      <c r="W899">
        <f t="shared" ref="W899:W955" si="43">AVERAGE(K899,N899,Q899,T899)</f>
        <v>19.70025</v>
      </c>
      <c r="X899">
        <f t="shared" ref="X899:X955" si="44">AVERAGE(L899,O899,R899,U899)</f>
        <v>19.435500000000001</v>
      </c>
      <c r="Y899">
        <v>13</v>
      </c>
      <c r="Z899" s="2" t="s">
        <v>330</v>
      </c>
    </row>
    <row r="900" spans="1:26" x14ac:dyDescent="0.25">
      <c r="A900">
        <v>1022</v>
      </c>
      <c r="B900">
        <v>944</v>
      </c>
      <c r="C900" t="s">
        <v>22</v>
      </c>
      <c r="D900" t="s">
        <v>328</v>
      </c>
      <c r="E900" t="s">
        <v>27</v>
      </c>
      <c r="F900" t="s">
        <v>784</v>
      </c>
      <c r="G900" t="str">
        <f>VLOOKUP(F900,Hospitals!E:H,4,FALSE)</f>
        <v>28.62716 , 75.62229</v>
      </c>
      <c r="H900" s="1">
        <v>45636</v>
      </c>
      <c r="I900" s="1">
        <v>45636</v>
      </c>
      <c r="J900">
        <v>12.102</v>
      </c>
      <c r="K900">
        <v>11.243</v>
      </c>
      <c r="L900">
        <v>10.795</v>
      </c>
      <c r="M900">
        <v>11.765000000000001</v>
      </c>
      <c r="N900">
        <v>8.6959999999999997</v>
      </c>
      <c r="O900">
        <v>8.6959999999999997</v>
      </c>
      <c r="P900">
        <v>11.765000000000001</v>
      </c>
      <c r="Q900">
        <v>8.6959999999999997</v>
      </c>
      <c r="R900">
        <v>8.6959999999999997</v>
      </c>
      <c r="S900">
        <v>0</v>
      </c>
      <c r="T900">
        <v>0</v>
      </c>
      <c r="U900">
        <v>0</v>
      </c>
      <c r="V900">
        <f t="shared" si="42"/>
        <v>8.9080000000000013</v>
      </c>
      <c r="W900">
        <f t="shared" si="43"/>
        <v>7.1587499999999995</v>
      </c>
      <c r="X900">
        <f t="shared" si="44"/>
        <v>7.0467499999999994</v>
      </c>
      <c r="Y900">
        <v>13</v>
      </c>
      <c r="Z900" s="2" t="s">
        <v>330</v>
      </c>
    </row>
    <row r="901" spans="1:26" x14ac:dyDescent="0.25">
      <c r="A901">
        <v>997</v>
      </c>
      <c r="B901">
        <v>945</v>
      </c>
      <c r="C901" t="s">
        <v>22</v>
      </c>
      <c r="D901" t="s">
        <v>328</v>
      </c>
      <c r="E901" t="s">
        <v>27</v>
      </c>
      <c r="F901" t="s">
        <v>785</v>
      </c>
      <c r="G901" t="str">
        <f>VLOOKUP(F901,Hospitals!E:H,4,FALSE)</f>
        <v>28.6434 , 75.8375</v>
      </c>
      <c r="H901" s="1">
        <v>45549</v>
      </c>
      <c r="I901" s="1">
        <v>45549</v>
      </c>
      <c r="J901">
        <v>25.478000000000002</v>
      </c>
      <c r="K901">
        <v>23.669</v>
      </c>
      <c r="L901">
        <v>22.727</v>
      </c>
      <c r="M901">
        <v>23.529</v>
      </c>
      <c r="N901">
        <v>21.739000000000001</v>
      </c>
      <c r="O901">
        <v>21.739000000000001</v>
      </c>
      <c r="P901">
        <v>23.529</v>
      </c>
      <c r="Q901">
        <v>21.739000000000001</v>
      </c>
      <c r="R901">
        <v>21.739000000000001</v>
      </c>
      <c r="S901">
        <v>0</v>
      </c>
      <c r="T901">
        <v>0</v>
      </c>
      <c r="U901">
        <v>0</v>
      </c>
      <c r="V901">
        <f t="shared" si="42"/>
        <v>18.134</v>
      </c>
      <c r="W901">
        <f t="shared" si="43"/>
        <v>16.786750000000001</v>
      </c>
      <c r="X901">
        <f t="shared" si="44"/>
        <v>16.55125</v>
      </c>
      <c r="Y901">
        <v>13</v>
      </c>
      <c r="Z901" s="2" t="s">
        <v>330</v>
      </c>
    </row>
    <row r="902" spans="1:26" x14ac:dyDescent="0.25">
      <c r="A902">
        <v>1018</v>
      </c>
      <c r="B902">
        <v>946</v>
      </c>
      <c r="C902" t="s">
        <v>22</v>
      </c>
      <c r="D902" t="s">
        <v>328</v>
      </c>
      <c r="E902" t="s">
        <v>27</v>
      </c>
      <c r="F902" t="s">
        <v>786</v>
      </c>
      <c r="G902" t="str">
        <f>VLOOKUP(F902,Hospitals!E:H,4,FALSE)</f>
        <v>28.57045 , 75.73512</v>
      </c>
      <c r="H902" s="1">
        <v>45562</v>
      </c>
      <c r="I902" s="1">
        <v>45562</v>
      </c>
      <c r="J902">
        <v>14.013</v>
      </c>
      <c r="K902">
        <v>13.018000000000001</v>
      </c>
      <c r="L902">
        <v>12.5</v>
      </c>
      <c r="M902">
        <v>23.529</v>
      </c>
      <c r="N902">
        <v>21.739000000000001</v>
      </c>
      <c r="O902">
        <v>21.739000000000001</v>
      </c>
      <c r="P902">
        <v>23.529</v>
      </c>
      <c r="Q902">
        <v>21.739000000000001</v>
      </c>
      <c r="R902">
        <v>21.739000000000001</v>
      </c>
      <c r="S902">
        <v>0</v>
      </c>
      <c r="T902">
        <v>0</v>
      </c>
      <c r="U902">
        <v>0</v>
      </c>
      <c r="V902">
        <f t="shared" si="42"/>
        <v>15.267749999999999</v>
      </c>
      <c r="W902">
        <f t="shared" si="43"/>
        <v>14.124000000000002</v>
      </c>
      <c r="X902">
        <f t="shared" si="44"/>
        <v>13.994500000000002</v>
      </c>
      <c r="Y902">
        <v>13</v>
      </c>
      <c r="Z902" s="2" t="s">
        <v>330</v>
      </c>
    </row>
    <row r="903" spans="1:26" x14ac:dyDescent="0.25">
      <c r="A903">
        <v>1065</v>
      </c>
      <c r="B903">
        <v>947</v>
      </c>
      <c r="C903" t="s">
        <v>22</v>
      </c>
      <c r="D903" t="s">
        <v>328</v>
      </c>
      <c r="E903" t="s">
        <v>27</v>
      </c>
      <c r="F903" t="s">
        <v>787</v>
      </c>
      <c r="G903" t="str">
        <f>VLOOKUP(F903,Hospitals!E:H,4,FALSE)</f>
        <v>28.50172 , 75.78366</v>
      </c>
      <c r="H903" s="1">
        <v>45563</v>
      </c>
      <c r="I903" t="s">
        <v>35</v>
      </c>
      <c r="J903">
        <v>41.401000000000003</v>
      </c>
      <c r="K903">
        <v>38.462000000000003</v>
      </c>
      <c r="L903">
        <v>36.932000000000002</v>
      </c>
      <c r="M903">
        <v>35.293999999999997</v>
      </c>
      <c r="N903">
        <v>26.087</v>
      </c>
      <c r="O903">
        <v>26.087</v>
      </c>
      <c r="P903">
        <v>35.293999999999997</v>
      </c>
      <c r="Q903">
        <v>26.087</v>
      </c>
      <c r="R903">
        <v>26.087</v>
      </c>
      <c r="S903">
        <v>0</v>
      </c>
      <c r="T903">
        <v>0</v>
      </c>
      <c r="U903">
        <v>0</v>
      </c>
      <c r="V903">
        <f t="shared" si="42"/>
        <v>27.997249999999998</v>
      </c>
      <c r="W903">
        <f t="shared" si="43"/>
        <v>22.659000000000002</v>
      </c>
      <c r="X903">
        <f t="shared" si="44"/>
        <v>22.276500000000002</v>
      </c>
      <c r="Y903">
        <v>13</v>
      </c>
      <c r="Z903" s="2" t="s">
        <v>330</v>
      </c>
    </row>
    <row r="904" spans="1:26" x14ac:dyDescent="0.25">
      <c r="A904">
        <v>1059</v>
      </c>
      <c r="B904">
        <v>947</v>
      </c>
      <c r="C904" t="s">
        <v>22</v>
      </c>
      <c r="D904" t="s">
        <v>328</v>
      </c>
      <c r="E904" t="s">
        <v>27</v>
      </c>
      <c r="F904" t="s">
        <v>787</v>
      </c>
      <c r="G904" t="str">
        <f>VLOOKUP(F904,Hospitals!E:H,4,FALSE)</f>
        <v>28.50172 , 75.78366</v>
      </c>
      <c r="H904" s="1">
        <v>45556</v>
      </c>
      <c r="I904" s="1">
        <v>45559</v>
      </c>
      <c r="J904">
        <v>43.948999999999998</v>
      </c>
      <c r="K904">
        <v>40.828000000000003</v>
      </c>
      <c r="L904">
        <v>39.204999999999998</v>
      </c>
      <c r="M904">
        <v>35.293999999999997</v>
      </c>
      <c r="N904">
        <v>26.087</v>
      </c>
      <c r="O904">
        <v>26.087</v>
      </c>
      <c r="P904">
        <v>35.293999999999997</v>
      </c>
      <c r="Q904">
        <v>26.087</v>
      </c>
      <c r="R904">
        <v>26.087</v>
      </c>
      <c r="S904">
        <v>0</v>
      </c>
      <c r="T904">
        <v>0</v>
      </c>
      <c r="U904">
        <v>0</v>
      </c>
      <c r="V904">
        <f t="shared" si="42"/>
        <v>28.634249999999998</v>
      </c>
      <c r="W904">
        <f t="shared" si="43"/>
        <v>23.250500000000002</v>
      </c>
      <c r="X904">
        <f t="shared" si="44"/>
        <v>22.844750000000001</v>
      </c>
      <c r="Y904">
        <v>13</v>
      </c>
      <c r="Z904" s="2" t="s">
        <v>330</v>
      </c>
    </row>
    <row r="905" spans="1:26" x14ac:dyDescent="0.25">
      <c r="A905">
        <v>981</v>
      </c>
      <c r="B905">
        <v>948</v>
      </c>
      <c r="C905" t="s">
        <v>22</v>
      </c>
      <c r="D905" t="s">
        <v>328</v>
      </c>
      <c r="E905" t="s">
        <v>27</v>
      </c>
      <c r="F905" t="s">
        <v>788</v>
      </c>
      <c r="G905" t="str">
        <f>VLOOKUP(F905,Hospitals!E:H,4,FALSE)</f>
        <v>27.57059 , 80.09819</v>
      </c>
      <c r="H905" s="1">
        <v>45551</v>
      </c>
      <c r="I905" s="1">
        <v>45551</v>
      </c>
      <c r="J905">
        <v>23.567</v>
      </c>
      <c r="K905">
        <v>21.893000000000001</v>
      </c>
      <c r="L905">
        <v>21.023</v>
      </c>
      <c r="M905">
        <v>11.765000000000001</v>
      </c>
      <c r="N905">
        <v>8.6959999999999997</v>
      </c>
      <c r="O905">
        <v>8.6959999999999997</v>
      </c>
      <c r="P905">
        <v>11.765000000000001</v>
      </c>
      <c r="Q905">
        <v>8.6959999999999997</v>
      </c>
      <c r="R905">
        <v>8.6959999999999997</v>
      </c>
      <c r="S905">
        <v>0</v>
      </c>
      <c r="T905">
        <v>0</v>
      </c>
      <c r="U905">
        <v>0</v>
      </c>
      <c r="V905">
        <f t="shared" si="42"/>
        <v>11.77425</v>
      </c>
      <c r="W905">
        <f t="shared" si="43"/>
        <v>9.8212499999999991</v>
      </c>
      <c r="X905">
        <f t="shared" si="44"/>
        <v>9.6037499999999998</v>
      </c>
      <c r="Y905">
        <v>13</v>
      </c>
      <c r="Z905" s="2" t="s">
        <v>330</v>
      </c>
    </row>
    <row r="906" spans="1:26" x14ac:dyDescent="0.25">
      <c r="A906">
        <v>1020</v>
      </c>
      <c r="B906">
        <v>949</v>
      </c>
      <c r="C906" t="s">
        <v>22</v>
      </c>
      <c r="D906" t="s">
        <v>328</v>
      </c>
      <c r="E906" t="s">
        <v>27</v>
      </c>
      <c r="F906" t="s">
        <v>789</v>
      </c>
      <c r="G906" t="str">
        <f>VLOOKUP(F906,Hospitals!E:H,4,FALSE)</f>
        <v>29.05878 , 76.0856</v>
      </c>
      <c r="H906" s="1">
        <v>45551</v>
      </c>
      <c r="I906" s="1">
        <v>45551</v>
      </c>
      <c r="J906">
        <v>2.548</v>
      </c>
      <c r="K906">
        <v>2.367</v>
      </c>
      <c r="L906">
        <v>2.2730000000000001</v>
      </c>
      <c r="M906">
        <v>17.646999999999998</v>
      </c>
      <c r="N906">
        <v>13.042999999999999</v>
      </c>
      <c r="O906">
        <v>13.042999999999999</v>
      </c>
      <c r="P906">
        <v>17.646999999999998</v>
      </c>
      <c r="Q906">
        <v>13.042999999999999</v>
      </c>
      <c r="R906">
        <v>13.042999999999999</v>
      </c>
      <c r="S906">
        <v>0</v>
      </c>
      <c r="T906">
        <v>0</v>
      </c>
      <c r="U906">
        <v>0</v>
      </c>
      <c r="V906">
        <f t="shared" si="42"/>
        <v>9.4604999999999997</v>
      </c>
      <c r="W906">
        <f t="shared" si="43"/>
        <v>7.1132499999999999</v>
      </c>
      <c r="X906">
        <f t="shared" si="44"/>
        <v>7.0897499999999996</v>
      </c>
      <c r="Y906">
        <v>13</v>
      </c>
      <c r="Z906" s="2" t="s">
        <v>330</v>
      </c>
    </row>
    <row r="907" spans="1:26" x14ac:dyDescent="0.25">
      <c r="A907">
        <v>1032</v>
      </c>
      <c r="B907">
        <v>950</v>
      </c>
      <c r="C907" t="s">
        <v>22</v>
      </c>
      <c r="D907" t="s">
        <v>328</v>
      </c>
      <c r="E907" t="s">
        <v>27</v>
      </c>
      <c r="F907" t="s">
        <v>790</v>
      </c>
      <c r="G907" t="str">
        <f>VLOOKUP(F907,Hospitals!E:H,4,FALSE)</f>
        <v>28.77656 , 75.5292</v>
      </c>
      <c r="H907" s="1">
        <v>45551</v>
      </c>
      <c r="I907" s="1">
        <v>45551</v>
      </c>
      <c r="J907">
        <v>33.758000000000003</v>
      </c>
      <c r="K907">
        <v>31.952999999999999</v>
      </c>
      <c r="L907">
        <v>30.681999999999999</v>
      </c>
      <c r="M907">
        <v>23.529</v>
      </c>
      <c r="N907">
        <v>17.390999999999998</v>
      </c>
      <c r="O907">
        <v>17.390999999999998</v>
      </c>
      <c r="P907">
        <v>23.529</v>
      </c>
      <c r="Q907">
        <v>17.390999999999998</v>
      </c>
      <c r="R907">
        <v>17.390999999999998</v>
      </c>
      <c r="S907">
        <v>0</v>
      </c>
      <c r="T907">
        <v>0</v>
      </c>
      <c r="U907">
        <v>0</v>
      </c>
      <c r="V907">
        <f t="shared" si="42"/>
        <v>20.204000000000001</v>
      </c>
      <c r="W907">
        <f t="shared" si="43"/>
        <v>16.683749999999996</v>
      </c>
      <c r="X907">
        <f t="shared" si="44"/>
        <v>16.366</v>
      </c>
      <c r="Y907">
        <v>13</v>
      </c>
      <c r="Z907" s="2" t="s">
        <v>330</v>
      </c>
    </row>
    <row r="908" spans="1:26" x14ac:dyDescent="0.25">
      <c r="A908">
        <v>1033</v>
      </c>
      <c r="B908">
        <v>950</v>
      </c>
      <c r="C908" t="s">
        <v>22</v>
      </c>
      <c r="D908" t="s">
        <v>328</v>
      </c>
      <c r="E908" t="s">
        <v>27</v>
      </c>
      <c r="F908" t="s">
        <v>790</v>
      </c>
      <c r="G908" t="str">
        <f>VLOOKUP(F908,Hospitals!E:H,4,FALSE)</f>
        <v>28.77656 , 75.5292</v>
      </c>
      <c r="H908" s="1">
        <v>45551</v>
      </c>
      <c r="I908" t="s">
        <v>35</v>
      </c>
      <c r="J908">
        <v>33.758000000000003</v>
      </c>
      <c r="K908">
        <v>31.952999999999999</v>
      </c>
      <c r="L908">
        <v>30.681999999999999</v>
      </c>
      <c r="M908">
        <v>23.529</v>
      </c>
      <c r="N908">
        <v>17.390999999999998</v>
      </c>
      <c r="O908">
        <v>17.390999999999998</v>
      </c>
      <c r="P908">
        <v>23.529</v>
      </c>
      <c r="Q908">
        <v>17.390999999999998</v>
      </c>
      <c r="R908">
        <v>17.390999999999998</v>
      </c>
      <c r="S908">
        <v>0</v>
      </c>
      <c r="T908">
        <v>0</v>
      </c>
      <c r="U908">
        <v>0</v>
      </c>
      <c r="V908">
        <f t="shared" si="42"/>
        <v>20.204000000000001</v>
      </c>
      <c r="W908">
        <f t="shared" si="43"/>
        <v>16.683749999999996</v>
      </c>
      <c r="X908">
        <f t="shared" si="44"/>
        <v>16.366</v>
      </c>
      <c r="Y908">
        <v>13</v>
      </c>
      <c r="Z908" s="2" t="s">
        <v>330</v>
      </c>
    </row>
    <row r="909" spans="1:26" x14ac:dyDescent="0.25">
      <c r="A909">
        <v>951</v>
      </c>
      <c r="B909">
        <v>950</v>
      </c>
      <c r="C909" t="s">
        <v>22</v>
      </c>
      <c r="D909" t="s">
        <v>328</v>
      </c>
      <c r="E909" t="s">
        <v>27</v>
      </c>
      <c r="F909" t="s">
        <v>790</v>
      </c>
      <c r="G909" t="str">
        <f>VLOOKUP(F909,Hospitals!E:H,4,FALSE)</f>
        <v>28.77656 , 75.5292</v>
      </c>
      <c r="H909" s="1">
        <v>45551</v>
      </c>
      <c r="I909" s="1">
        <v>45551</v>
      </c>
      <c r="J909">
        <v>33.758000000000003</v>
      </c>
      <c r="K909">
        <v>31.952999999999999</v>
      </c>
      <c r="L909">
        <v>30.681999999999999</v>
      </c>
      <c r="M909">
        <v>23.529</v>
      </c>
      <c r="N909">
        <v>17.390999999999998</v>
      </c>
      <c r="O909">
        <v>17.390999999999998</v>
      </c>
      <c r="P909">
        <v>23.529</v>
      </c>
      <c r="Q909">
        <v>17.390999999999998</v>
      </c>
      <c r="R909">
        <v>17.390999999999998</v>
      </c>
      <c r="S909">
        <v>0</v>
      </c>
      <c r="T909">
        <v>0</v>
      </c>
      <c r="U909">
        <v>0</v>
      </c>
      <c r="V909">
        <f t="shared" si="42"/>
        <v>20.204000000000001</v>
      </c>
      <c r="W909">
        <f t="shared" si="43"/>
        <v>16.683749999999996</v>
      </c>
      <c r="X909">
        <f t="shared" si="44"/>
        <v>16.366</v>
      </c>
      <c r="Y909">
        <v>13</v>
      </c>
      <c r="Z909" s="2" t="s">
        <v>330</v>
      </c>
    </row>
    <row r="910" spans="1:26" x14ac:dyDescent="0.25">
      <c r="A910">
        <v>983</v>
      </c>
      <c r="B910">
        <v>951</v>
      </c>
      <c r="C910" t="s">
        <v>22</v>
      </c>
      <c r="D910" t="s">
        <v>328</v>
      </c>
      <c r="E910" t="s">
        <v>27</v>
      </c>
      <c r="F910" t="s">
        <v>791</v>
      </c>
      <c r="G910" t="str">
        <f>VLOOKUP(F910,Hospitals!E:H,4,FALSE)</f>
        <v>29.41072 , 77.07947</v>
      </c>
      <c r="H910" s="1">
        <v>45546</v>
      </c>
      <c r="I910" s="1">
        <v>45546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f t="shared" si="42"/>
        <v>0</v>
      </c>
      <c r="W910">
        <f t="shared" si="43"/>
        <v>0</v>
      </c>
      <c r="X910">
        <f t="shared" si="44"/>
        <v>0</v>
      </c>
      <c r="Y910">
        <v>13</v>
      </c>
      <c r="Z910" s="2" t="s">
        <v>330</v>
      </c>
    </row>
    <row r="911" spans="1:26" x14ac:dyDescent="0.25">
      <c r="A911">
        <v>937</v>
      </c>
      <c r="B911">
        <v>952</v>
      </c>
      <c r="C911" t="s">
        <v>22</v>
      </c>
      <c r="D911" t="s">
        <v>328</v>
      </c>
      <c r="E911" t="s">
        <v>27</v>
      </c>
      <c r="F911" t="s">
        <v>792</v>
      </c>
      <c r="G911" t="str">
        <f>VLOOKUP(F911,Hospitals!E:H,4,FALSE)</f>
        <v>28.88011 , 76.23841</v>
      </c>
      <c r="H911" s="1">
        <v>45552</v>
      </c>
      <c r="I911" s="1">
        <v>45552</v>
      </c>
      <c r="J911">
        <v>9.5540000000000003</v>
      </c>
      <c r="K911">
        <v>8.8759999999999994</v>
      </c>
      <c r="L911">
        <v>8.5229999999999997</v>
      </c>
      <c r="M911">
        <v>17.646999999999998</v>
      </c>
      <c r="N911">
        <v>13.042999999999999</v>
      </c>
      <c r="O911">
        <v>13.042999999999999</v>
      </c>
      <c r="P911">
        <v>17.646999999999998</v>
      </c>
      <c r="Q911">
        <v>13.042999999999999</v>
      </c>
      <c r="R911">
        <v>13.042999999999999</v>
      </c>
      <c r="S911">
        <v>0</v>
      </c>
      <c r="T911">
        <v>0</v>
      </c>
      <c r="U911">
        <v>0</v>
      </c>
      <c r="V911">
        <f t="shared" si="42"/>
        <v>11.212</v>
      </c>
      <c r="W911">
        <f t="shared" si="43"/>
        <v>8.740499999999999</v>
      </c>
      <c r="X911">
        <f t="shared" si="44"/>
        <v>8.6522499999999987</v>
      </c>
      <c r="Y911">
        <v>13</v>
      </c>
      <c r="Z911" s="2" t="s">
        <v>330</v>
      </c>
    </row>
    <row r="912" spans="1:26" x14ac:dyDescent="0.25">
      <c r="A912">
        <v>948</v>
      </c>
      <c r="B912">
        <v>953</v>
      </c>
      <c r="C912" t="s">
        <v>22</v>
      </c>
      <c r="D912" t="s">
        <v>328</v>
      </c>
      <c r="E912" t="s">
        <v>27</v>
      </c>
      <c r="F912" t="s">
        <v>793</v>
      </c>
      <c r="G912" t="str">
        <f>VLOOKUP(F912,Hospitals!E:H,4,FALSE)</f>
        <v>28.79042 , 76.13488</v>
      </c>
      <c r="H912" s="1">
        <v>45548</v>
      </c>
      <c r="I912" s="1">
        <v>45548</v>
      </c>
      <c r="J912">
        <v>23.567</v>
      </c>
      <c r="K912">
        <v>22.484999999999999</v>
      </c>
      <c r="L912">
        <v>21.591000000000001</v>
      </c>
      <c r="M912">
        <v>23.529</v>
      </c>
      <c r="N912">
        <v>17.390999999999998</v>
      </c>
      <c r="O912">
        <v>17.390999999999998</v>
      </c>
      <c r="P912">
        <v>23.529</v>
      </c>
      <c r="Q912">
        <v>17.390999999999998</v>
      </c>
      <c r="R912">
        <v>17.390999999999998</v>
      </c>
      <c r="S912">
        <v>0</v>
      </c>
      <c r="T912">
        <v>0</v>
      </c>
      <c r="U912">
        <v>0</v>
      </c>
      <c r="V912">
        <f t="shared" si="42"/>
        <v>17.65625</v>
      </c>
      <c r="W912">
        <f t="shared" si="43"/>
        <v>14.316749999999999</v>
      </c>
      <c r="X912">
        <f t="shared" si="44"/>
        <v>14.093249999999999</v>
      </c>
      <c r="Y912">
        <v>13</v>
      </c>
      <c r="Z912" s="2" t="s">
        <v>330</v>
      </c>
    </row>
    <row r="913" spans="1:26" x14ac:dyDescent="0.25">
      <c r="A913">
        <v>944</v>
      </c>
      <c r="B913">
        <v>954</v>
      </c>
      <c r="C913" t="s">
        <v>22</v>
      </c>
      <c r="D913" t="s">
        <v>328</v>
      </c>
      <c r="E913" t="s">
        <v>27</v>
      </c>
      <c r="F913" t="s">
        <v>794</v>
      </c>
      <c r="G913" t="str">
        <f>VLOOKUP(F913,Hospitals!E:H,4,FALSE)</f>
        <v>28.4936 , 76.5716</v>
      </c>
      <c r="H913" s="1">
        <v>45539</v>
      </c>
      <c r="I913" t="s">
        <v>35</v>
      </c>
      <c r="J913">
        <v>23.567</v>
      </c>
      <c r="K913">
        <v>21.893000000000001</v>
      </c>
      <c r="L913">
        <v>21.023</v>
      </c>
      <c r="M913">
        <v>29.411999999999999</v>
      </c>
      <c r="N913">
        <v>21.739000000000001</v>
      </c>
      <c r="O913">
        <v>21.739000000000001</v>
      </c>
      <c r="P913">
        <v>29.411999999999999</v>
      </c>
      <c r="Q913">
        <v>21.739000000000001</v>
      </c>
      <c r="R913">
        <v>21.739000000000001</v>
      </c>
      <c r="S913">
        <v>0</v>
      </c>
      <c r="T913">
        <v>0</v>
      </c>
      <c r="U913">
        <v>0</v>
      </c>
      <c r="V913">
        <f t="shared" si="42"/>
        <v>20.597749999999998</v>
      </c>
      <c r="W913">
        <f t="shared" si="43"/>
        <v>16.342750000000002</v>
      </c>
      <c r="X913">
        <f t="shared" si="44"/>
        <v>16.125250000000001</v>
      </c>
      <c r="Y913">
        <v>13</v>
      </c>
      <c r="Z913" s="2" t="s">
        <v>330</v>
      </c>
    </row>
    <row r="914" spans="1:26" x14ac:dyDescent="0.25">
      <c r="A914">
        <v>1017</v>
      </c>
      <c r="B914">
        <v>955</v>
      </c>
      <c r="C914" t="s">
        <v>22</v>
      </c>
      <c r="D914" t="s">
        <v>328</v>
      </c>
      <c r="E914" t="s">
        <v>27</v>
      </c>
      <c r="F914" t="s">
        <v>795</v>
      </c>
      <c r="G914" t="str">
        <f>VLOOKUP(F914,Hospitals!E:H,4,FALSE)</f>
        <v>28.99308 , 77.01507</v>
      </c>
      <c r="H914" s="1">
        <v>45549</v>
      </c>
      <c r="I914" s="1">
        <v>45549</v>
      </c>
      <c r="J914">
        <v>21.655999999999999</v>
      </c>
      <c r="K914">
        <v>20.117999999999999</v>
      </c>
      <c r="L914">
        <v>19.318000000000001</v>
      </c>
      <c r="M914">
        <v>17.646999999999998</v>
      </c>
      <c r="N914">
        <v>17.390999999999998</v>
      </c>
      <c r="O914">
        <v>17.390999999999998</v>
      </c>
      <c r="P914">
        <v>17.646999999999998</v>
      </c>
      <c r="Q914">
        <v>17.390999999999998</v>
      </c>
      <c r="R914">
        <v>17.390999999999998</v>
      </c>
      <c r="S914">
        <v>0</v>
      </c>
      <c r="T914">
        <v>0</v>
      </c>
      <c r="U914">
        <v>0</v>
      </c>
      <c r="V914">
        <f t="shared" si="42"/>
        <v>14.237499999999999</v>
      </c>
      <c r="W914">
        <f t="shared" si="43"/>
        <v>13.725</v>
      </c>
      <c r="X914">
        <f t="shared" si="44"/>
        <v>13.525</v>
      </c>
      <c r="Y914">
        <v>13</v>
      </c>
      <c r="Z914" s="2" t="s">
        <v>330</v>
      </c>
    </row>
    <row r="915" spans="1:26" x14ac:dyDescent="0.25">
      <c r="A915">
        <v>952</v>
      </c>
      <c r="B915">
        <v>956</v>
      </c>
      <c r="C915" t="s">
        <v>22</v>
      </c>
      <c r="D915" t="s">
        <v>328</v>
      </c>
      <c r="E915" t="s">
        <v>27</v>
      </c>
      <c r="F915" t="s">
        <v>796</v>
      </c>
      <c r="G915" t="str">
        <f>VLOOKUP(F915,Hospitals!E:H,4,FALSE)</f>
        <v>28.79771 , 76.05157</v>
      </c>
      <c r="H915" s="1">
        <v>45630</v>
      </c>
      <c r="I915" t="s">
        <v>35</v>
      </c>
      <c r="J915">
        <v>35.668999999999997</v>
      </c>
      <c r="K915">
        <v>33.136000000000003</v>
      </c>
      <c r="L915">
        <v>31.818000000000001</v>
      </c>
      <c r="M915">
        <v>17.646999999999998</v>
      </c>
      <c r="N915">
        <v>13.042999999999999</v>
      </c>
      <c r="O915">
        <v>13.042999999999999</v>
      </c>
      <c r="P915">
        <v>17.646999999999998</v>
      </c>
      <c r="Q915">
        <v>13.042999999999999</v>
      </c>
      <c r="R915">
        <v>13.042999999999999</v>
      </c>
      <c r="S915">
        <v>0</v>
      </c>
      <c r="T915">
        <v>0</v>
      </c>
      <c r="U915">
        <v>0</v>
      </c>
      <c r="V915">
        <f t="shared" si="42"/>
        <v>17.740749999999998</v>
      </c>
      <c r="W915">
        <f t="shared" si="43"/>
        <v>14.8055</v>
      </c>
      <c r="X915">
        <f t="shared" si="44"/>
        <v>14.476000000000001</v>
      </c>
      <c r="Y915">
        <v>13</v>
      </c>
      <c r="Z915" s="2" t="s">
        <v>330</v>
      </c>
    </row>
    <row r="916" spans="1:26" x14ac:dyDescent="0.25">
      <c r="A916">
        <v>996</v>
      </c>
      <c r="B916">
        <v>957</v>
      </c>
      <c r="C916" t="s">
        <v>22</v>
      </c>
      <c r="D916" t="s">
        <v>328</v>
      </c>
      <c r="E916" t="s">
        <v>27</v>
      </c>
      <c r="F916" t="s">
        <v>797</v>
      </c>
      <c r="G916" t="str">
        <f>VLOOKUP(F916,Hospitals!E:H,4,FALSE)</f>
        <v>28.4459 , 75.77928</v>
      </c>
      <c r="H916" s="1">
        <v>45593</v>
      </c>
      <c r="I916" s="1">
        <v>45593</v>
      </c>
      <c r="J916">
        <v>34.395000000000003</v>
      </c>
      <c r="K916">
        <v>32.543999999999997</v>
      </c>
      <c r="L916">
        <v>31.25</v>
      </c>
      <c r="M916">
        <v>41.176000000000002</v>
      </c>
      <c r="N916">
        <v>30.434999999999999</v>
      </c>
      <c r="O916">
        <v>30.434999999999999</v>
      </c>
      <c r="P916">
        <v>41.176000000000002</v>
      </c>
      <c r="Q916">
        <v>30.434999999999999</v>
      </c>
      <c r="R916">
        <v>30.434999999999999</v>
      </c>
      <c r="S916">
        <v>0</v>
      </c>
      <c r="T916">
        <v>0</v>
      </c>
      <c r="U916">
        <v>0</v>
      </c>
      <c r="V916">
        <f t="shared" si="42"/>
        <v>29.18675</v>
      </c>
      <c r="W916">
        <f t="shared" si="43"/>
        <v>23.3535</v>
      </c>
      <c r="X916">
        <f t="shared" si="44"/>
        <v>23.03</v>
      </c>
      <c r="Y916">
        <v>13</v>
      </c>
      <c r="Z916" s="2" t="s">
        <v>330</v>
      </c>
    </row>
    <row r="917" spans="1:26" x14ac:dyDescent="0.25">
      <c r="A917">
        <v>965</v>
      </c>
      <c r="B917">
        <v>958</v>
      </c>
      <c r="C917" t="s">
        <v>22</v>
      </c>
      <c r="D917" t="s">
        <v>328</v>
      </c>
      <c r="E917" t="s">
        <v>27</v>
      </c>
      <c r="F917" t="s">
        <v>798</v>
      </c>
      <c r="G917" t="str">
        <f>VLOOKUP(F917,Hospitals!E:H,4,FALSE)</f>
        <v>28.90345 , 76.57194</v>
      </c>
      <c r="H917" s="1">
        <v>45553</v>
      </c>
      <c r="I917" s="1">
        <v>45553</v>
      </c>
      <c r="J917">
        <v>18.471</v>
      </c>
      <c r="K917">
        <v>17.751000000000001</v>
      </c>
      <c r="L917">
        <v>17.045000000000002</v>
      </c>
      <c r="M917">
        <v>11.765000000000001</v>
      </c>
      <c r="N917">
        <v>8.6959999999999997</v>
      </c>
      <c r="O917">
        <v>8.6959999999999997</v>
      </c>
      <c r="P917">
        <v>11.765000000000001</v>
      </c>
      <c r="Q917">
        <v>8.6959999999999997</v>
      </c>
      <c r="R917">
        <v>8.6959999999999997</v>
      </c>
      <c r="S917">
        <v>0</v>
      </c>
      <c r="T917">
        <v>0</v>
      </c>
      <c r="U917">
        <v>0</v>
      </c>
      <c r="V917">
        <f t="shared" si="42"/>
        <v>10.500250000000001</v>
      </c>
      <c r="W917">
        <f t="shared" si="43"/>
        <v>8.7857500000000002</v>
      </c>
      <c r="X917">
        <f t="shared" si="44"/>
        <v>8.6092499999999994</v>
      </c>
      <c r="Y917">
        <v>13</v>
      </c>
      <c r="Z917" s="2" t="s">
        <v>330</v>
      </c>
    </row>
    <row r="918" spans="1:26" x14ac:dyDescent="0.25">
      <c r="A918">
        <v>1043</v>
      </c>
      <c r="B918">
        <v>958</v>
      </c>
      <c r="C918" t="s">
        <v>22</v>
      </c>
      <c r="D918" t="s">
        <v>328</v>
      </c>
      <c r="E918" t="s">
        <v>27</v>
      </c>
      <c r="F918" t="s">
        <v>798</v>
      </c>
      <c r="G918" t="str">
        <f>VLOOKUP(F918,Hospitals!E:H,4,FALSE)</f>
        <v>28.90345 , 76.57194</v>
      </c>
      <c r="H918" s="1">
        <v>45553</v>
      </c>
      <c r="I918" t="s">
        <v>35</v>
      </c>
      <c r="J918">
        <v>18.471</v>
      </c>
      <c r="K918">
        <v>17.751000000000001</v>
      </c>
      <c r="L918">
        <v>17.045000000000002</v>
      </c>
      <c r="M918">
        <v>11.765000000000001</v>
      </c>
      <c r="N918">
        <v>8.6959999999999997</v>
      </c>
      <c r="O918">
        <v>8.6959999999999997</v>
      </c>
      <c r="P918">
        <v>11.765000000000001</v>
      </c>
      <c r="Q918">
        <v>8.6959999999999997</v>
      </c>
      <c r="R918">
        <v>8.6959999999999997</v>
      </c>
      <c r="S918">
        <v>0</v>
      </c>
      <c r="T918">
        <v>0</v>
      </c>
      <c r="U918">
        <v>0</v>
      </c>
      <c r="V918">
        <f t="shared" si="42"/>
        <v>10.500250000000001</v>
      </c>
      <c r="W918">
        <f t="shared" si="43"/>
        <v>8.7857500000000002</v>
      </c>
      <c r="X918">
        <f t="shared" si="44"/>
        <v>8.6092499999999994</v>
      </c>
      <c r="Y918">
        <v>13</v>
      </c>
      <c r="Z918" s="2" t="s">
        <v>330</v>
      </c>
    </row>
    <row r="919" spans="1:26" x14ac:dyDescent="0.25">
      <c r="A919">
        <v>945</v>
      </c>
      <c r="B919">
        <v>959</v>
      </c>
      <c r="C919" t="s">
        <v>22</v>
      </c>
      <c r="D919" t="s">
        <v>328</v>
      </c>
      <c r="E919" t="s">
        <v>27</v>
      </c>
      <c r="F919" t="s">
        <v>799</v>
      </c>
      <c r="G919" t="str">
        <f>VLOOKUP(F919,Hospitals!E:H,4,FALSE)</f>
        <v>28.99308 , 77.01507</v>
      </c>
      <c r="H919" s="1">
        <v>45549</v>
      </c>
      <c r="I919" s="1">
        <v>45549</v>
      </c>
      <c r="J919">
        <v>9.5540000000000003</v>
      </c>
      <c r="K919">
        <v>8.8759999999999994</v>
      </c>
      <c r="L919">
        <v>8.5229999999999997</v>
      </c>
      <c r="M919">
        <v>11.765000000000001</v>
      </c>
      <c r="N919">
        <v>8.6959999999999997</v>
      </c>
      <c r="O919">
        <v>8.6959999999999997</v>
      </c>
      <c r="P919">
        <v>11.765000000000001</v>
      </c>
      <c r="Q919">
        <v>8.6959999999999997</v>
      </c>
      <c r="R919">
        <v>8.6959999999999997</v>
      </c>
      <c r="S919">
        <v>0</v>
      </c>
      <c r="T919">
        <v>0</v>
      </c>
      <c r="U919">
        <v>0</v>
      </c>
      <c r="V919">
        <f t="shared" si="42"/>
        <v>8.2710000000000008</v>
      </c>
      <c r="W919">
        <f t="shared" si="43"/>
        <v>6.5670000000000002</v>
      </c>
      <c r="X919">
        <f t="shared" si="44"/>
        <v>6.4787499999999998</v>
      </c>
      <c r="Y919">
        <v>13</v>
      </c>
      <c r="Z919" s="2" t="s">
        <v>330</v>
      </c>
    </row>
    <row r="920" spans="1:26" x14ac:dyDescent="0.25">
      <c r="A920">
        <v>1130</v>
      </c>
      <c r="B920">
        <v>96</v>
      </c>
      <c r="C920" t="s">
        <v>22</v>
      </c>
      <c r="D920" t="s">
        <v>29</v>
      </c>
      <c r="E920" t="s">
        <v>77</v>
      </c>
      <c r="F920" t="s">
        <v>800</v>
      </c>
      <c r="G920" t="str">
        <f>VLOOKUP(F920,Hospitals!E:H,4,FALSE)</f>
        <v>28.4666 , 77.0333</v>
      </c>
      <c r="H920" s="1">
        <v>45699</v>
      </c>
      <c r="I920" t="s">
        <v>35</v>
      </c>
      <c r="J920">
        <v>84.075999999999993</v>
      </c>
      <c r="K920">
        <v>83.432000000000002</v>
      </c>
      <c r="L920">
        <v>82.954999999999998</v>
      </c>
      <c r="M920">
        <v>82.352999999999994</v>
      </c>
      <c r="N920">
        <v>82.608999999999995</v>
      </c>
      <c r="O920">
        <v>82.608999999999995</v>
      </c>
      <c r="P920">
        <v>82.352999999999994</v>
      </c>
      <c r="Q920">
        <v>82.608999999999995</v>
      </c>
      <c r="R920">
        <v>82.608999999999995</v>
      </c>
      <c r="S920">
        <v>80</v>
      </c>
      <c r="T920">
        <v>75</v>
      </c>
      <c r="U920">
        <v>42.856999999999999</v>
      </c>
      <c r="V920">
        <f t="shared" si="42"/>
        <v>82.195499999999996</v>
      </c>
      <c r="W920">
        <f t="shared" si="43"/>
        <v>80.912499999999994</v>
      </c>
      <c r="X920">
        <f t="shared" si="44"/>
        <v>72.757499999999993</v>
      </c>
      <c r="Y920">
        <v>13</v>
      </c>
      <c r="Z920" s="2" t="s">
        <v>31</v>
      </c>
    </row>
    <row r="921" spans="1:26" x14ac:dyDescent="0.25">
      <c r="A921">
        <v>1160</v>
      </c>
      <c r="B921">
        <v>960</v>
      </c>
      <c r="C921" t="s">
        <v>22</v>
      </c>
      <c r="D921" t="s">
        <v>328</v>
      </c>
      <c r="E921" t="s">
        <v>30</v>
      </c>
      <c r="F921" t="s">
        <v>801</v>
      </c>
      <c r="G921" t="e">
        <f>VLOOKUP(F921,Hospitals!E:H,4,FALSE)</f>
        <v>#N/A</v>
      </c>
      <c r="H921" s="1">
        <v>45691</v>
      </c>
      <c r="I921" t="s">
        <v>35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f t="shared" si="42"/>
        <v>0</v>
      </c>
      <c r="W921">
        <f t="shared" si="43"/>
        <v>0</v>
      </c>
      <c r="X921">
        <f t="shared" si="44"/>
        <v>0</v>
      </c>
      <c r="Y921">
        <v>13</v>
      </c>
      <c r="Z921" s="2" t="s">
        <v>330</v>
      </c>
    </row>
    <row r="922" spans="1:26" x14ac:dyDescent="0.25">
      <c r="A922">
        <v>998</v>
      </c>
      <c r="B922">
        <v>961</v>
      </c>
      <c r="C922" t="s">
        <v>22</v>
      </c>
      <c r="D922" t="s">
        <v>328</v>
      </c>
      <c r="E922" t="s">
        <v>30</v>
      </c>
      <c r="F922" t="s">
        <v>802</v>
      </c>
      <c r="G922" t="e">
        <f>VLOOKUP(F922,Hospitals!E:H,4,FALSE)</f>
        <v>#N/A</v>
      </c>
      <c r="H922" s="1">
        <v>45533</v>
      </c>
      <c r="I922" t="s">
        <v>35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f t="shared" si="42"/>
        <v>0</v>
      </c>
      <c r="W922">
        <f t="shared" si="43"/>
        <v>0</v>
      </c>
      <c r="X922">
        <f t="shared" si="44"/>
        <v>0</v>
      </c>
      <c r="Y922">
        <v>13</v>
      </c>
      <c r="Z922" s="2" t="s">
        <v>330</v>
      </c>
    </row>
    <row r="923" spans="1:26" x14ac:dyDescent="0.25">
      <c r="A923">
        <v>919</v>
      </c>
      <c r="B923">
        <v>962</v>
      </c>
      <c r="C923" t="s">
        <v>22</v>
      </c>
      <c r="D923" t="s">
        <v>328</v>
      </c>
      <c r="E923" t="s">
        <v>30</v>
      </c>
      <c r="F923" t="s">
        <v>803</v>
      </c>
      <c r="G923" t="str">
        <f>VLOOKUP(F923,Hospitals!E:H,4,FALSE)</f>
        <v>28.70129 , 76.05078</v>
      </c>
      <c r="H923" s="1">
        <v>45514</v>
      </c>
      <c r="I923" s="1">
        <v>45514</v>
      </c>
      <c r="J923">
        <v>71.337999999999994</v>
      </c>
      <c r="K923">
        <v>69.822000000000003</v>
      </c>
      <c r="L923">
        <v>68.182000000000002</v>
      </c>
      <c r="M923">
        <v>70.587999999999994</v>
      </c>
      <c r="N923">
        <v>69.564999999999998</v>
      </c>
      <c r="O923">
        <v>69.564999999999998</v>
      </c>
      <c r="P923">
        <v>70.587999999999994</v>
      </c>
      <c r="Q923">
        <v>69.564999999999998</v>
      </c>
      <c r="R923">
        <v>69.564999999999998</v>
      </c>
      <c r="S923">
        <v>20</v>
      </c>
      <c r="T923">
        <v>8.3330000000000002</v>
      </c>
      <c r="U923">
        <v>7.1429999999999998</v>
      </c>
      <c r="V923">
        <f t="shared" si="42"/>
        <v>58.128499999999995</v>
      </c>
      <c r="W923">
        <f t="shared" si="43"/>
        <v>54.321249999999999</v>
      </c>
      <c r="X923">
        <f t="shared" si="44"/>
        <v>53.613750000000003</v>
      </c>
      <c r="Y923">
        <v>13</v>
      </c>
      <c r="Z923" s="2" t="s">
        <v>330</v>
      </c>
    </row>
    <row r="924" spans="1:26" x14ac:dyDescent="0.25">
      <c r="A924">
        <v>910</v>
      </c>
      <c r="B924">
        <v>964</v>
      </c>
      <c r="C924" t="s">
        <v>22</v>
      </c>
      <c r="D924" t="s">
        <v>328</v>
      </c>
      <c r="E924" t="s">
        <v>30</v>
      </c>
      <c r="F924" t="s">
        <v>804</v>
      </c>
      <c r="G924" t="str">
        <f>VLOOKUP(F924,Hospitals!E:H,4,FALSE)</f>
        <v>28.87036 , 75.91748</v>
      </c>
      <c r="H924" s="1">
        <v>45527</v>
      </c>
      <c r="I924" s="1">
        <v>45527</v>
      </c>
      <c r="J924">
        <v>71.337999999999994</v>
      </c>
      <c r="K924">
        <v>71.597999999999999</v>
      </c>
      <c r="L924">
        <v>69.885999999999996</v>
      </c>
      <c r="M924">
        <v>64.706000000000003</v>
      </c>
      <c r="N924">
        <v>60.87</v>
      </c>
      <c r="O924">
        <v>60.87</v>
      </c>
      <c r="P924">
        <v>64.706000000000003</v>
      </c>
      <c r="Q924">
        <v>60.87</v>
      </c>
      <c r="R924">
        <v>60.87</v>
      </c>
      <c r="S924">
        <v>20</v>
      </c>
      <c r="T924">
        <v>16.667000000000002</v>
      </c>
      <c r="U924">
        <v>0</v>
      </c>
      <c r="V924">
        <f t="shared" si="42"/>
        <v>55.1875</v>
      </c>
      <c r="W924">
        <f t="shared" si="43"/>
        <v>52.501249999999999</v>
      </c>
      <c r="X924">
        <f t="shared" si="44"/>
        <v>47.906500000000001</v>
      </c>
      <c r="Y924">
        <v>13</v>
      </c>
      <c r="Z924" s="2" t="s">
        <v>330</v>
      </c>
    </row>
    <row r="925" spans="1:26" x14ac:dyDescent="0.25">
      <c r="A925">
        <v>984</v>
      </c>
      <c r="B925">
        <v>964</v>
      </c>
      <c r="C925" t="s">
        <v>22</v>
      </c>
      <c r="D925" t="s">
        <v>328</v>
      </c>
      <c r="E925" t="s">
        <v>30</v>
      </c>
      <c r="F925" t="s">
        <v>804</v>
      </c>
      <c r="G925" t="str">
        <f>VLOOKUP(F925,Hospitals!E:H,4,FALSE)</f>
        <v>28.87036 , 75.91748</v>
      </c>
      <c r="H925" s="1">
        <v>45527</v>
      </c>
      <c r="I925" t="s">
        <v>35</v>
      </c>
      <c r="J925">
        <v>71.337999999999994</v>
      </c>
      <c r="K925">
        <v>71.597999999999999</v>
      </c>
      <c r="L925">
        <v>69.885999999999996</v>
      </c>
      <c r="M925">
        <v>64.706000000000003</v>
      </c>
      <c r="N925">
        <v>60.87</v>
      </c>
      <c r="O925">
        <v>60.87</v>
      </c>
      <c r="P925">
        <v>64.706000000000003</v>
      </c>
      <c r="Q925">
        <v>60.87</v>
      </c>
      <c r="R925">
        <v>60.87</v>
      </c>
      <c r="S925">
        <v>20</v>
      </c>
      <c r="T925">
        <v>16.667000000000002</v>
      </c>
      <c r="U925">
        <v>0</v>
      </c>
      <c r="V925">
        <f t="shared" si="42"/>
        <v>55.1875</v>
      </c>
      <c r="W925">
        <f t="shared" si="43"/>
        <v>52.501249999999999</v>
      </c>
      <c r="X925">
        <f t="shared" si="44"/>
        <v>47.906500000000001</v>
      </c>
      <c r="Y925">
        <v>13</v>
      </c>
      <c r="Z925" s="2" t="s">
        <v>330</v>
      </c>
    </row>
    <row r="926" spans="1:26" x14ac:dyDescent="0.25">
      <c r="A926">
        <v>1031</v>
      </c>
      <c r="B926">
        <v>965</v>
      </c>
      <c r="C926" t="s">
        <v>22</v>
      </c>
      <c r="D926" t="s">
        <v>328</v>
      </c>
      <c r="E926" t="s">
        <v>30</v>
      </c>
      <c r="F926" t="s">
        <v>805</v>
      </c>
      <c r="G926" t="str">
        <f>VLOOKUP(F926,Hospitals!E:H,4,FALSE)</f>
        <v>28.78592 , 76.14722</v>
      </c>
      <c r="H926" s="1">
        <v>45553</v>
      </c>
      <c r="I926" s="1">
        <v>45553</v>
      </c>
      <c r="J926">
        <v>24.841000000000001</v>
      </c>
      <c r="K926">
        <v>24.26</v>
      </c>
      <c r="L926">
        <v>23.295000000000002</v>
      </c>
      <c r="M926">
        <v>29.411999999999999</v>
      </c>
      <c r="N926">
        <v>30.434999999999999</v>
      </c>
      <c r="O926">
        <v>30.434999999999999</v>
      </c>
      <c r="P926">
        <v>29.411999999999999</v>
      </c>
      <c r="Q926">
        <v>30.434999999999999</v>
      </c>
      <c r="R926">
        <v>30.434999999999999</v>
      </c>
      <c r="S926">
        <v>10</v>
      </c>
      <c r="T926">
        <v>8.3330000000000002</v>
      </c>
      <c r="U926">
        <v>0</v>
      </c>
      <c r="V926">
        <f t="shared" si="42"/>
        <v>23.416249999999998</v>
      </c>
      <c r="W926">
        <f t="shared" si="43"/>
        <v>23.365749999999998</v>
      </c>
      <c r="X926">
        <f t="shared" si="44"/>
        <v>21.041250000000002</v>
      </c>
      <c r="Y926">
        <v>13</v>
      </c>
      <c r="Z926" s="2" t="s">
        <v>330</v>
      </c>
    </row>
    <row r="927" spans="1:26" x14ac:dyDescent="0.25">
      <c r="A927">
        <v>947</v>
      </c>
      <c r="B927">
        <v>966</v>
      </c>
      <c r="C927" t="s">
        <v>22</v>
      </c>
      <c r="D927" t="s">
        <v>328</v>
      </c>
      <c r="E927" t="s">
        <v>30</v>
      </c>
      <c r="F927" t="s">
        <v>806</v>
      </c>
      <c r="G927" t="str">
        <f>VLOOKUP(F927,Hospitals!E:H,4,FALSE)</f>
        <v>28.07235 , 76.39859</v>
      </c>
      <c r="H927" s="1">
        <v>45512</v>
      </c>
      <c r="I927" s="1">
        <v>45512</v>
      </c>
      <c r="J927">
        <v>42.037999999999997</v>
      </c>
      <c r="K927">
        <v>39.052999999999997</v>
      </c>
      <c r="L927">
        <v>37.5</v>
      </c>
      <c r="M927">
        <v>41.176000000000002</v>
      </c>
      <c r="N927">
        <v>39.130000000000003</v>
      </c>
      <c r="O927">
        <v>39.130000000000003</v>
      </c>
      <c r="P927">
        <v>41.176000000000002</v>
      </c>
      <c r="Q927">
        <v>39.130000000000003</v>
      </c>
      <c r="R927">
        <v>39.130000000000003</v>
      </c>
      <c r="S927">
        <v>0</v>
      </c>
      <c r="T927">
        <v>0</v>
      </c>
      <c r="U927">
        <v>0</v>
      </c>
      <c r="V927">
        <f t="shared" si="42"/>
        <v>31.0975</v>
      </c>
      <c r="W927">
        <f t="shared" si="43"/>
        <v>29.328249999999997</v>
      </c>
      <c r="X927">
        <f t="shared" si="44"/>
        <v>28.939999999999998</v>
      </c>
      <c r="Y927">
        <v>13</v>
      </c>
      <c r="Z927" s="2" t="s">
        <v>330</v>
      </c>
    </row>
    <row r="928" spans="1:26" x14ac:dyDescent="0.25">
      <c r="A928">
        <v>955</v>
      </c>
      <c r="B928">
        <v>967</v>
      </c>
      <c r="C928" t="s">
        <v>22</v>
      </c>
      <c r="D928" t="s">
        <v>328</v>
      </c>
      <c r="E928" t="s">
        <v>77</v>
      </c>
      <c r="F928" t="s">
        <v>807</v>
      </c>
      <c r="G928" t="str">
        <f>VLOOKUP(F928,Hospitals!E:H,4,FALSE)</f>
        <v>28.65889 , 77.16209</v>
      </c>
      <c r="H928" s="1">
        <v>45537</v>
      </c>
      <c r="I928" s="1">
        <v>45537</v>
      </c>
      <c r="J928">
        <v>50.317999999999998</v>
      </c>
      <c r="K928">
        <v>47.337000000000003</v>
      </c>
      <c r="L928">
        <v>45.454999999999998</v>
      </c>
      <c r="M928">
        <v>52.941000000000003</v>
      </c>
      <c r="N928">
        <v>47.826000000000001</v>
      </c>
      <c r="O928">
        <v>47.826000000000001</v>
      </c>
      <c r="P928">
        <v>52.941000000000003</v>
      </c>
      <c r="Q928">
        <v>47.826000000000001</v>
      </c>
      <c r="R928">
        <v>47.826000000000001</v>
      </c>
      <c r="S928">
        <v>20</v>
      </c>
      <c r="T928">
        <v>16.667000000000002</v>
      </c>
      <c r="U928">
        <v>0</v>
      </c>
      <c r="V928">
        <f t="shared" si="42"/>
        <v>44.05</v>
      </c>
      <c r="W928">
        <f t="shared" si="43"/>
        <v>39.914000000000001</v>
      </c>
      <c r="X928">
        <f t="shared" si="44"/>
        <v>35.27675</v>
      </c>
      <c r="Y928">
        <v>13</v>
      </c>
      <c r="Z928" s="2" t="s">
        <v>330</v>
      </c>
    </row>
    <row r="929" spans="1:26" x14ac:dyDescent="0.25">
      <c r="A929">
        <v>1028</v>
      </c>
      <c r="B929">
        <v>968</v>
      </c>
      <c r="C929" t="s">
        <v>22</v>
      </c>
      <c r="D929" t="s">
        <v>328</v>
      </c>
      <c r="E929" t="s">
        <v>77</v>
      </c>
      <c r="F929" t="s">
        <v>808</v>
      </c>
      <c r="G929" t="str">
        <f>VLOOKUP(F929,Hospitals!E:H,4,FALSE)</f>
        <v>26.86321 , 75.79238</v>
      </c>
      <c r="H929" s="1">
        <v>45566</v>
      </c>
      <c r="I929" s="1">
        <v>45566</v>
      </c>
      <c r="J929">
        <v>25.478000000000002</v>
      </c>
      <c r="K929">
        <v>23.669</v>
      </c>
      <c r="L929">
        <v>22.727</v>
      </c>
      <c r="M929">
        <v>11.765000000000001</v>
      </c>
      <c r="N929">
        <v>8.6959999999999997</v>
      </c>
      <c r="O929">
        <v>8.6959999999999997</v>
      </c>
      <c r="P929">
        <v>11.765000000000001</v>
      </c>
      <c r="Q929">
        <v>8.6959999999999997</v>
      </c>
      <c r="R929">
        <v>8.6959999999999997</v>
      </c>
      <c r="S929">
        <v>10</v>
      </c>
      <c r="T929">
        <v>8.3330000000000002</v>
      </c>
      <c r="U929">
        <v>7.1429999999999998</v>
      </c>
      <c r="V929">
        <f t="shared" si="42"/>
        <v>14.752000000000001</v>
      </c>
      <c r="W929">
        <f t="shared" si="43"/>
        <v>12.3485</v>
      </c>
      <c r="X929">
        <f t="shared" si="44"/>
        <v>11.8155</v>
      </c>
      <c r="Y929">
        <v>13</v>
      </c>
      <c r="Z929" s="2" t="s">
        <v>330</v>
      </c>
    </row>
    <row r="930" spans="1:26" x14ac:dyDescent="0.25">
      <c r="A930">
        <v>1029</v>
      </c>
      <c r="B930">
        <v>969</v>
      </c>
      <c r="C930" t="s">
        <v>22</v>
      </c>
      <c r="D930" t="s">
        <v>328</v>
      </c>
      <c r="E930" t="s">
        <v>77</v>
      </c>
      <c r="F930" t="s">
        <v>809</v>
      </c>
      <c r="G930" t="str">
        <f>VLOOKUP(F930,Hospitals!E:H,4,FALSE)</f>
        <v>28.91121 , 75.60888</v>
      </c>
      <c r="H930" s="1">
        <v>45566</v>
      </c>
      <c r="I930" s="1">
        <v>45566</v>
      </c>
      <c r="J930">
        <v>20.382000000000001</v>
      </c>
      <c r="K930">
        <v>18.934999999999999</v>
      </c>
      <c r="L930">
        <v>18.181999999999999</v>
      </c>
      <c r="M930">
        <v>52.941000000000003</v>
      </c>
      <c r="N930">
        <v>39.130000000000003</v>
      </c>
      <c r="O930">
        <v>39.130000000000003</v>
      </c>
      <c r="P930">
        <v>52.941000000000003</v>
      </c>
      <c r="Q930">
        <v>39.130000000000003</v>
      </c>
      <c r="R930">
        <v>39.130000000000003</v>
      </c>
      <c r="S930">
        <v>10</v>
      </c>
      <c r="T930">
        <v>8.3330000000000002</v>
      </c>
      <c r="U930">
        <v>0</v>
      </c>
      <c r="V930">
        <f t="shared" si="42"/>
        <v>34.066000000000003</v>
      </c>
      <c r="W930">
        <f t="shared" si="43"/>
        <v>26.381999999999998</v>
      </c>
      <c r="X930">
        <f t="shared" si="44"/>
        <v>24.110500000000002</v>
      </c>
      <c r="Y930">
        <v>13</v>
      </c>
      <c r="Z930" s="2" t="s">
        <v>330</v>
      </c>
    </row>
    <row r="931" spans="1:26" x14ac:dyDescent="0.25">
      <c r="A931">
        <v>734</v>
      </c>
      <c r="B931">
        <v>97</v>
      </c>
      <c r="C931" t="s">
        <v>22</v>
      </c>
      <c r="D931" t="s">
        <v>29</v>
      </c>
      <c r="E931" t="s">
        <v>30</v>
      </c>
      <c r="F931" t="s">
        <v>810</v>
      </c>
      <c r="G931" t="e">
        <f>VLOOKUP(F931,Hospitals!E:H,4,FALSE)</f>
        <v>#N/A</v>
      </c>
      <c r="H931" s="1">
        <v>45449</v>
      </c>
      <c r="I931" s="1">
        <v>45449</v>
      </c>
      <c r="J931">
        <v>100</v>
      </c>
      <c r="K931">
        <v>99.408000000000001</v>
      </c>
      <c r="L931">
        <v>99.432000000000002</v>
      </c>
      <c r="M931">
        <v>100</v>
      </c>
      <c r="N931">
        <v>100</v>
      </c>
      <c r="O931">
        <v>100</v>
      </c>
      <c r="P931">
        <v>100</v>
      </c>
      <c r="Q931">
        <v>100</v>
      </c>
      <c r="R931">
        <v>100</v>
      </c>
      <c r="S931">
        <v>60</v>
      </c>
      <c r="T931">
        <v>50</v>
      </c>
      <c r="U931">
        <v>35.713999999999999</v>
      </c>
      <c r="V931">
        <f t="shared" si="42"/>
        <v>90</v>
      </c>
      <c r="W931">
        <f t="shared" si="43"/>
        <v>87.352000000000004</v>
      </c>
      <c r="X931">
        <f t="shared" si="44"/>
        <v>83.786500000000004</v>
      </c>
      <c r="Y931">
        <v>13</v>
      </c>
      <c r="Z931" s="2" t="s">
        <v>31</v>
      </c>
    </row>
    <row r="932" spans="1:26" x14ac:dyDescent="0.25">
      <c r="A932">
        <v>950</v>
      </c>
      <c r="B932">
        <v>970</v>
      </c>
      <c r="C932" t="s">
        <v>22</v>
      </c>
      <c r="D932" t="s">
        <v>328</v>
      </c>
      <c r="E932" t="s">
        <v>77</v>
      </c>
      <c r="F932" t="s">
        <v>811</v>
      </c>
      <c r="G932" t="str">
        <f>VLOOKUP(F932,Hospitals!E:H,4,FALSE)</f>
        <v>28.99308 , 77.01507</v>
      </c>
      <c r="H932" s="1">
        <v>45565</v>
      </c>
      <c r="I932" s="1">
        <v>45565</v>
      </c>
      <c r="J932">
        <v>1.274</v>
      </c>
      <c r="K932">
        <v>1.1830000000000001</v>
      </c>
      <c r="L932">
        <v>1.1359999999999999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f t="shared" si="42"/>
        <v>0.31850000000000001</v>
      </c>
      <c r="W932">
        <f t="shared" si="43"/>
        <v>0.29575000000000001</v>
      </c>
      <c r="X932">
        <f t="shared" si="44"/>
        <v>0.28399999999999997</v>
      </c>
      <c r="Y932">
        <v>13</v>
      </c>
      <c r="Z932" s="2" t="s">
        <v>330</v>
      </c>
    </row>
    <row r="933" spans="1:26" x14ac:dyDescent="0.25">
      <c r="A933">
        <v>964</v>
      </c>
      <c r="B933">
        <v>971</v>
      </c>
      <c r="C933" t="s">
        <v>22</v>
      </c>
      <c r="D933" t="s">
        <v>328</v>
      </c>
      <c r="E933" t="s">
        <v>77</v>
      </c>
      <c r="F933" t="s">
        <v>812</v>
      </c>
      <c r="G933" t="str">
        <f>VLOOKUP(F933,Hospitals!E:H,4,FALSE)</f>
        <v>28.9416 , 76.03437</v>
      </c>
      <c r="H933" s="1">
        <v>45534</v>
      </c>
      <c r="I933" s="1">
        <v>45534</v>
      </c>
      <c r="J933">
        <v>39.49</v>
      </c>
      <c r="K933">
        <v>37.277999999999999</v>
      </c>
      <c r="L933">
        <v>35.795000000000002</v>
      </c>
      <c r="M933">
        <v>29.411999999999999</v>
      </c>
      <c r="N933">
        <v>21.739000000000001</v>
      </c>
      <c r="O933">
        <v>21.739000000000001</v>
      </c>
      <c r="P933">
        <v>29.411999999999999</v>
      </c>
      <c r="Q933">
        <v>21.739000000000001</v>
      </c>
      <c r="R933">
        <v>21.739000000000001</v>
      </c>
      <c r="S933">
        <v>10</v>
      </c>
      <c r="T933">
        <v>8.3330000000000002</v>
      </c>
      <c r="U933">
        <v>0</v>
      </c>
      <c r="V933">
        <f t="shared" si="42"/>
        <v>27.078499999999998</v>
      </c>
      <c r="W933">
        <f t="shared" si="43"/>
        <v>22.27225</v>
      </c>
      <c r="X933">
        <f t="shared" si="44"/>
        <v>19.818250000000003</v>
      </c>
      <c r="Y933">
        <v>13</v>
      </c>
      <c r="Z933" s="2" t="s">
        <v>330</v>
      </c>
    </row>
    <row r="934" spans="1:26" x14ac:dyDescent="0.25">
      <c r="A934">
        <v>1321</v>
      </c>
      <c r="B934">
        <v>976</v>
      </c>
      <c r="C934" t="s">
        <v>22</v>
      </c>
      <c r="D934" t="s">
        <v>195</v>
      </c>
      <c r="E934" t="s">
        <v>27</v>
      </c>
      <c r="F934" t="s">
        <v>813</v>
      </c>
      <c r="G934" t="str">
        <f>VLOOKUP(F934,Hospitals!E:H,4,FALSE)</f>
        <v>29.45461 , 76.2608</v>
      </c>
      <c r="H934" s="1">
        <v>46050</v>
      </c>
      <c r="I934" s="1">
        <v>46050</v>
      </c>
      <c r="J934">
        <v>3.8220000000000001</v>
      </c>
      <c r="K934">
        <v>3.55</v>
      </c>
      <c r="L934">
        <v>3.4089999999999998</v>
      </c>
      <c r="M934">
        <v>11.765000000000001</v>
      </c>
      <c r="N934">
        <v>17.390999999999998</v>
      </c>
      <c r="O934">
        <v>17.390999999999998</v>
      </c>
      <c r="P934">
        <v>11.765000000000001</v>
      </c>
      <c r="Q934">
        <v>17.390999999999998</v>
      </c>
      <c r="R934">
        <v>17.390999999999998</v>
      </c>
      <c r="S934">
        <v>0</v>
      </c>
      <c r="T934">
        <v>0</v>
      </c>
      <c r="U934">
        <v>0</v>
      </c>
      <c r="V934">
        <f t="shared" si="42"/>
        <v>6.8380000000000001</v>
      </c>
      <c r="W934">
        <f t="shared" si="43"/>
        <v>9.5829999999999984</v>
      </c>
      <c r="X934">
        <f t="shared" si="44"/>
        <v>9.5477499999999988</v>
      </c>
      <c r="Y934">
        <v>13</v>
      </c>
      <c r="Z934" s="2" t="s">
        <v>197</v>
      </c>
    </row>
    <row r="935" spans="1:26" x14ac:dyDescent="0.25">
      <c r="A935">
        <v>1385</v>
      </c>
      <c r="B935">
        <v>976</v>
      </c>
      <c r="C935" t="s">
        <v>22</v>
      </c>
      <c r="D935" t="s">
        <v>195</v>
      </c>
      <c r="E935" t="s">
        <v>27</v>
      </c>
      <c r="F935" t="s">
        <v>813</v>
      </c>
      <c r="G935" t="str">
        <f>VLOOKUP(F935,Hospitals!E:H,4,FALSE)</f>
        <v>29.45461 , 76.2608</v>
      </c>
      <c r="H935" s="1">
        <v>46062</v>
      </c>
      <c r="I935" s="1">
        <v>46063</v>
      </c>
      <c r="J935">
        <v>3.8220000000000001</v>
      </c>
      <c r="K935">
        <v>3.55</v>
      </c>
      <c r="L935">
        <v>3.4089999999999998</v>
      </c>
      <c r="M935">
        <v>11.765000000000001</v>
      </c>
      <c r="N935">
        <v>17.390999999999998</v>
      </c>
      <c r="O935">
        <v>17.390999999999998</v>
      </c>
      <c r="P935">
        <v>11.765000000000001</v>
      </c>
      <c r="Q935">
        <v>17.390999999999998</v>
      </c>
      <c r="R935">
        <v>17.390999999999998</v>
      </c>
      <c r="S935">
        <v>0</v>
      </c>
      <c r="T935">
        <v>0</v>
      </c>
      <c r="U935">
        <v>0</v>
      </c>
      <c r="V935">
        <f t="shared" si="42"/>
        <v>6.8380000000000001</v>
      </c>
      <c r="W935">
        <f t="shared" si="43"/>
        <v>9.5829999999999984</v>
      </c>
      <c r="X935">
        <f t="shared" si="44"/>
        <v>9.5477499999999988</v>
      </c>
      <c r="Y935">
        <v>13</v>
      </c>
      <c r="Z935" s="2" t="s">
        <v>197</v>
      </c>
    </row>
    <row r="936" spans="1:26" x14ac:dyDescent="0.25">
      <c r="A936">
        <v>1339</v>
      </c>
      <c r="B936">
        <v>977</v>
      </c>
      <c r="C936" t="s">
        <v>22</v>
      </c>
      <c r="D936" t="s">
        <v>195</v>
      </c>
      <c r="E936" t="s">
        <v>30</v>
      </c>
      <c r="F936" t="s">
        <v>814</v>
      </c>
      <c r="G936" t="str">
        <f>VLOOKUP(F936,Hospitals!E:H,4,FALSE)</f>
        <v>29.3841 , 76.7017</v>
      </c>
      <c r="H936" s="1">
        <v>46046</v>
      </c>
      <c r="I936" s="1">
        <v>46046</v>
      </c>
      <c r="J936">
        <v>85.35</v>
      </c>
      <c r="K936">
        <v>82.248999999999995</v>
      </c>
      <c r="L936">
        <v>78.977000000000004</v>
      </c>
      <c r="M936">
        <v>88.234999999999999</v>
      </c>
      <c r="N936">
        <v>78.260999999999996</v>
      </c>
      <c r="O936">
        <v>78.260999999999996</v>
      </c>
      <c r="P936">
        <v>88.234999999999999</v>
      </c>
      <c r="Q936">
        <v>78.260999999999996</v>
      </c>
      <c r="R936">
        <v>78.260999999999996</v>
      </c>
      <c r="S936">
        <v>0</v>
      </c>
      <c r="T936">
        <v>0</v>
      </c>
      <c r="U936">
        <v>0</v>
      </c>
      <c r="V936">
        <f t="shared" si="42"/>
        <v>65.454999999999998</v>
      </c>
      <c r="W936">
        <f t="shared" si="43"/>
        <v>59.692749999999997</v>
      </c>
      <c r="X936">
        <f t="shared" si="44"/>
        <v>58.874749999999999</v>
      </c>
      <c r="Y936">
        <v>13</v>
      </c>
      <c r="Z936" s="2" t="s">
        <v>197</v>
      </c>
    </row>
    <row r="937" spans="1:26" x14ac:dyDescent="0.25">
      <c r="A937">
        <v>1081</v>
      </c>
      <c r="B937">
        <v>978</v>
      </c>
      <c r="C937" t="s">
        <v>22</v>
      </c>
      <c r="D937" t="s">
        <v>195</v>
      </c>
      <c r="E937" t="s">
        <v>77</v>
      </c>
      <c r="F937" t="s">
        <v>815</v>
      </c>
      <c r="G937" t="str">
        <f>VLOOKUP(F937,Hospitals!E:H,4,FALSE)</f>
        <v>29.60285 , 76.12794</v>
      </c>
      <c r="H937" s="1">
        <v>46081</v>
      </c>
      <c r="I937" s="1">
        <v>46081</v>
      </c>
      <c r="J937">
        <v>58.598999999999997</v>
      </c>
      <c r="K937">
        <v>57.396000000000001</v>
      </c>
      <c r="L937">
        <v>55.113999999999997</v>
      </c>
      <c r="M937">
        <v>100</v>
      </c>
      <c r="N937">
        <v>86.956999999999994</v>
      </c>
      <c r="O937">
        <v>86.956999999999994</v>
      </c>
      <c r="P937">
        <v>100</v>
      </c>
      <c r="Q937">
        <v>86.956999999999994</v>
      </c>
      <c r="R937">
        <v>86.956999999999994</v>
      </c>
      <c r="S937">
        <v>20</v>
      </c>
      <c r="T937">
        <v>16.667000000000002</v>
      </c>
      <c r="U937">
        <v>7.1429999999999998</v>
      </c>
      <c r="V937">
        <f t="shared" si="42"/>
        <v>69.649749999999997</v>
      </c>
      <c r="W937">
        <f t="shared" si="43"/>
        <v>61.994250000000001</v>
      </c>
      <c r="X937">
        <f t="shared" si="44"/>
        <v>59.042749999999998</v>
      </c>
      <c r="Y937">
        <v>13</v>
      </c>
      <c r="Z937" s="2" t="s">
        <v>197</v>
      </c>
    </row>
    <row r="938" spans="1:26" x14ac:dyDescent="0.25">
      <c r="A938">
        <v>925</v>
      </c>
      <c r="B938">
        <v>979</v>
      </c>
      <c r="C938" t="s">
        <v>22</v>
      </c>
      <c r="D938" t="s">
        <v>23</v>
      </c>
      <c r="E938" t="s">
        <v>30</v>
      </c>
      <c r="F938" t="s">
        <v>816</v>
      </c>
      <c r="G938" t="str">
        <f>VLOOKUP(F938,Hospitals!E:H,4,FALSE)</f>
        <v>30.37428 , 77.09604</v>
      </c>
      <c r="H938" s="1">
        <v>45509</v>
      </c>
      <c r="I938" t="s">
        <v>35</v>
      </c>
      <c r="J938">
        <v>10.827999999999999</v>
      </c>
      <c r="K938">
        <v>10.651</v>
      </c>
      <c r="L938">
        <v>10.795</v>
      </c>
      <c r="M938">
        <v>52.941000000000003</v>
      </c>
      <c r="N938">
        <v>52.173999999999999</v>
      </c>
      <c r="O938">
        <v>52.173999999999999</v>
      </c>
      <c r="P938">
        <v>52.941000000000003</v>
      </c>
      <c r="Q938">
        <v>52.173999999999999</v>
      </c>
      <c r="R938">
        <v>52.173999999999999</v>
      </c>
      <c r="S938">
        <v>0</v>
      </c>
      <c r="T938">
        <v>0</v>
      </c>
      <c r="U938">
        <v>0</v>
      </c>
      <c r="V938">
        <f t="shared" si="42"/>
        <v>29.177500000000002</v>
      </c>
      <c r="W938">
        <f t="shared" si="43"/>
        <v>28.749749999999999</v>
      </c>
      <c r="X938">
        <f t="shared" si="44"/>
        <v>28.78575</v>
      </c>
      <c r="Y938">
        <v>13</v>
      </c>
      <c r="Z938" s="2" t="s">
        <v>26</v>
      </c>
    </row>
    <row r="939" spans="1:26" x14ac:dyDescent="0.25">
      <c r="A939">
        <v>620</v>
      </c>
      <c r="B939">
        <v>98</v>
      </c>
      <c r="C939" t="s">
        <v>22</v>
      </c>
      <c r="D939" t="s">
        <v>29</v>
      </c>
      <c r="E939" t="s">
        <v>30</v>
      </c>
      <c r="F939" t="s">
        <v>817</v>
      </c>
      <c r="G939" t="str">
        <f>VLOOKUP(F939,Hospitals!E:H,4,FALSE)</f>
        <v>28.42352 , 77.06165</v>
      </c>
      <c r="H939" s="1">
        <v>45397</v>
      </c>
      <c r="I939" s="1">
        <v>45397</v>
      </c>
      <c r="J939">
        <v>53.503</v>
      </c>
      <c r="K939">
        <v>51.478999999999999</v>
      </c>
      <c r="L939">
        <v>50.567999999999998</v>
      </c>
      <c r="M939">
        <v>64.706000000000003</v>
      </c>
      <c r="N939">
        <v>69.564999999999998</v>
      </c>
      <c r="O939">
        <v>69.564999999999998</v>
      </c>
      <c r="P939">
        <v>64.706000000000003</v>
      </c>
      <c r="Q939">
        <v>69.564999999999998</v>
      </c>
      <c r="R939">
        <v>69.564999999999998</v>
      </c>
      <c r="S939">
        <v>50</v>
      </c>
      <c r="T939">
        <v>50</v>
      </c>
      <c r="U939">
        <v>35.713999999999999</v>
      </c>
      <c r="V939">
        <f t="shared" si="42"/>
        <v>58.228750000000005</v>
      </c>
      <c r="W939">
        <f t="shared" si="43"/>
        <v>60.152249999999995</v>
      </c>
      <c r="X939">
        <f t="shared" si="44"/>
        <v>56.352999999999994</v>
      </c>
      <c r="Y939">
        <v>13</v>
      </c>
      <c r="Z939" s="2" t="s">
        <v>31</v>
      </c>
    </row>
    <row r="940" spans="1:26" x14ac:dyDescent="0.25">
      <c r="A940">
        <v>1037</v>
      </c>
      <c r="B940">
        <v>981</v>
      </c>
      <c r="C940" t="s">
        <v>22</v>
      </c>
      <c r="D940" t="s">
        <v>440</v>
      </c>
      <c r="E940" t="s">
        <v>30</v>
      </c>
      <c r="F940" t="s">
        <v>818</v>
      </c>
      <c r="G940" t="str">
        <f>VLOOKUP(F940,Hospitals!E:H,4,FALSE)</f>
        <v>28.99308 , 77.01507</v>
      </c>
      <c r="H940" s="1">
        <v>45553</v>
      </c>
      <c r="I940" s="1">
        <v>45553</v>
      </c>
      <c r="J940">
        <v>96.814999999999998</v>
      </c>
      <c r="K940">
        <v>96.45</v>
      </c>
      <c r="L940">
        <v>96.022999999999996</v>
      </c>
      <c r="M940">
        <v>88.234999999999999</v>
      </c>
      <c r="N940">
        <v>86.956999999999994</v>
      </c>
      <c r="O940">
        <v>86.956999999999994</v>
      </c>
      <c r="P940">
        <v>88.234999999999999</v>
      </c>
      <c r="Q940">
        <v>86.956999999999994</v>
      </c>
      <c r="R940">
        <v>86.956999999999994</v>
      </c>
      <c r="S940">
        <v>40</v>
      </c>
      <c r="T940">
        <v>25</v>
      </c>
      <c r="U940">
        <v>14.286</v>
      </c>
      <c r="V940">
        <f t="shared" si="42"/>
        <v>78.321250000000006</v>
      </c>
      <c r="W940">
        <f t="shared" si="43"/>
        <v>73.840999999999994</v>
      </c>
      <c r="X940">
        <f t="shared" si="44"/>
        <v>71.055750000000003</v>
      </c>
      <c r="Y940">
        <v>13</v>
      </c>
      <c r="Z940" s="2" t="s">
        <v>442</v>
      </c>
    </row>
    <row r="941" spans="1:26" x14ac:dyDescent="0.25">
      <c r="A941">
        <v>943</v>
      </c>
      <c r="B941">
        <v>983</v>
      </c>
      <c r="C941" t="s">
        <v>22</v>
      </c>
      <c r="D941" t="s">
        <v>23</v>
      </c>
      <c r="E941" t="s">
        <v>30</v>
      </c>
      <c r="F941" t="s">
        <v>819</v>
      </c>
      <c r="G941" t="str">
        <f>VLOOKUP(F941,Hospitals!E:H,4,FALSE)</f>
        <v>30.28297 , 76.71056</v>
      </c>
      <c r="H941" s="1">
        <v>45510</v>
      </c>
      <c r="I941" s="1">
        <v>45510</v>
      </c>
      <c r="J941">
        <v>79.617999999999995</v>
      </c>
      <c r="K941">
        <v>76.331000000000003</v>
      </c>
      <c r="L941">
        <v>73.864000000000004</v>
      </c>
      <c r="M941">
        <v>58.823999999999998</v>
      </c>
      <c r="N941">
        <v>52.173999999999999</v>
      </c>
      <c r="O941">
        <v>52.173999999999999</v>
      </c>
      <c r="P941">
        <v>58.823999999999998</v>
      </c>
      <c r="Q941">
        <v>52.173999999999999</v>
      </c>
      <c r="R941">
        <v>52.173999999999999</v>
      </c>
      <c r="S941">
        <v>10</v>
      </c>
      <c r="T941">
        <v>8.3330000000000002</v>
      </c>
      <c r="U941">
        <v>0</v>
      </c>
      <c r="V941">
        <f t="shared" si="42"/>
        <v>51.816500000000005</v>
      </c>
      <c r="W941">
        <f t="shared" si="43"/>
        <v>47.253</v>
      </c>
      <c r="X941">
        <f t="shared" si="44"/>
        <v>44.553000000000004</v>
      </c>
      <c r="Y941">
        <v>13</v>
      </c>
      <c r="Z941" s="2" t="s">
        <v>26</v>
      </c>
    </row>
    <row r="942" spans="1:26" x14ac:dyDescent="0.25">
      <c r="A942">
        <v>960</v>
      </c>
      <c r="B942">
        <v>984</v>
      </c>
      <c r="C942" t="s">
        <v>22</v>
      </c>
      <c r="D942" t="s">
        <v>328</v>
      </c>
      <c r="E942" t="s">
        <v>30</v>
      </c>
      <c r="F942" t="s">
        <v>820</v>
      </c>
      <c r="G942" t="str">
        <f>VLOOKUP(F942,Hospitals!E:H,4,FALSE)</f>
        <v>28.90345 , 76.57194</v>
      </c>
      <c r="H942" s="1">
        <v>45575</v>
      </c>
      <c r="I942" s="1">
        <v>45575</v>
      </c>
      <c r="J942">
        <v>54.777000000000001</v>
      </c>
      <c r="K942">
        <v>52.662999999999997</v>
      </c>
      <c r="L942">
        <v>50.567999999999998</v>
      </c>
      <c r="M942">
        <v>58.823999999999998</v>
      </c>
      <c r="N942">
        <v>56.521999999999998</v>
      </c>
      <c r="O942">
        <v>56.521999999999998</v>
      </c>
      <c r="P942">
        <v>58.823999999999998</v>
      </c>
      <c r="Q942">
        <v>56.521999999999998</v>
      </c>
      <c r="R942">
        <v>56.521999999999998</v>
      </c>
      <c r="S942">
        <v>0</v>
      </c>
      <c r="T942">
        <v>0</v>
      </c>
      <c r="U942">
        <v>0</v>
      </c>
      <c r="V942">
        <f t="shared" si="42"/>
        <v>43.106250000000003</v>
      </c>
      <c r="W942">
        <f t="shared" si="43"/>
        <v>41.426749999999998</v>
      </c>
      <c r="X942">
        <f t="shared" si="44"/>
        <v>40.902999999999999</v>
      </c>
      <c r="Y942">
        <v>13</v>
      </c>
      <c r="Z942" s="2" t="s">
        <v>330</v>
      </c>
    </row>
    <row r="943" spans="1:26" x14ac:dyDescent="0.25">
      <c r="A943">
        <v>982</v>
      </c>
      <c r="B943">
        <v>985</v>
      </c>
      <c r="C943" t="s">
        <v>22</v>
      </c>
      <c r="D943" t="s">
        <v>328</v>
      </c>
      <c r="E943" t="s">
        <v>24</v>
      </c>
      <c r="F943" t="s">
        <v>776</v>
      </c>
      <c r="G943" t="str">
        <f>VLOOKUP(F943,Hospitals!E:H,4,FALSE)</f>
        <v>28.99308 , 77.01507</v>
      </c>
      <c r="H943" s="1">
        <v>45562</v>
      </c>
      <c r="I943" s="1">
        <v>45562</v>
      </c>
      <c r="J943">
        <v>15.287000000000001</v>
      </c>
      <c r="K943">
        <v>14.201000000000001</v>
      </c>
      <c r="L943">
        <v>13.635999999999999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f t="shared" si="42"/>
        <v>3.8217500000000002</v>
      </c>
      <c r="W943">
        <f t="shared" si="43"/>
        <v>3.5502500000000001</v>
      </c>
      <c r="X943">
        <f t="shared" si="44"/>
        <v>3.4089999999999998</v>
      </c>
      <c r="Y943">
        <v>13</v>
      </c>
      <c r="Z943" s="2" t="s">
        <v>330</v>
      </c>
    </row>
    <row r="944" spans="1:26" x14ac:dyDescent="0.25">
      <c r="A944">
        <v>974</v>
      </c>
      <c r="B944">
        <v>986</v>
      </c>
      <c r="C944" t="s">
        <v>22</v>
      </c>
      <c r="D944" t="s">
        <v>328</v>
      </c>
      <c r="E944" t="s">
        <v>27</v>
      </c>
      <c r="F944" t="s">
        <v>821</v>
      </c>
      <c r="G944" t="str">
        <f>VLOOKUP(F944,Hospitals!E:H,4,FALSE)</f>
        <v>28.607 , 76.4906</v>
      </c>
      <c r="H944" s="1">
        <v>45544</v>
      </c>
      <c r="I944" s="1">
        <v>45544</v>
      </c>
      <c r="J944">
        <v>38.216999999999999</v>
      </c>
      <c r="K944">
        <v>35.503</v>
      </c>
      <c r="L944">
        <v>34.091000000000001</v>
      </c>
      <c r="M944">
        <v>35.293999999999997</v>
      </c>
      <c r="N944">
        <v>26.087</v>
      </c>
      <c r="O944">
        <v>26.087</v>
      </c>
      <c r="P944">
        <v>35.293999999999997</v>
      </c>
      <c r="Q944">
        <v>26.087</v>
      </c>
      <c r="R944">
        <v>26.087</v>
      </c>
      <c r="S944">
        <v>0</v>
      </c>
      <c r="T944">
        <v>0</v>
      </c>
      <c r="U944">
        <v>0</v>
      </c>
      <c r="V944">
        <f t="shared" si="42"/>
        <v>27.201249999999998</v>
      </c>
      <c r="W944">
        <f t="shared" si="43"/>
        <v>21.919250000000002</v>
      </c>
      <c r="X944">
        <f t="shared" si="44"/>
        <v>21.56625</v>
      </c>
      <c r="Y944">
        <v>13</v>
      </c>
      <c r="Z944" s="2" t="s">
        <v>330</v>
      </c>
    </row>
    <row r="945" spans="1:26" x14ac:dyDescent="0.25">
      <c r="A945">
        <v>1107</v>
      </c>
      <c r="B945">
        <v>987</v>
      </c>
      <c r="C945" t="s">
        <v>22</v>
      </c>
      <c r="D945" t="s">
        <v>42</v>
      </c>
      <c r="E945" t="s">
        <v>30</v>
      </c>
      <c r="F945" t="s">
        <v>822</v>
      </c>
      <c r="G945" t="str">
        <f>VLOOKUP(F945,Hospitals!E:H,4,FALSE)</f>
        <v>29.33727 , 75.62104</v>
      </c>
      <c r="H945" s="1">
        <v>45661</v>
      </c>
      <c r="I945" s="1">
        <v>45661</v>
      </c>
      <c r="J945">
        <v>97.451999999999998</v>
      </c>
      <c r="K945">
        <v>97.632999999999996</v>
      </c>
      <c r="L945">
        <v>95.454999999999998</v>
      </c>
      <c r="M945">
        <v>100</v>
      </c>
      <c r="N945">
        <v>100</v>
      </c>
      <c r="O945">
        <v>100</v>
      </c>
      <c r="P945">
        <v>100</v>
      </c>
      <c r="Q945">
        <v>100</v>
      </c>
      <c r="R945">
        <v>100</v>
      </c>
      <c r="S945">
        <v>50</v>
      </c>
      <c r="T945">
        <v>58.332999999999998</v>
      </c>
      <c r="U945">
        <v>50</v>
      </c>
      <c r="V945">
        <f t="shared" si="42"/>
        <v>86.863</v>
      </c>
      <c r="W945">
        <f t="shared" si="43"/>
        <v>88.991500000000002</v>
      </c>
      <c r="X945">
        <f t="shared" si="44"/>
        <v>86.363749999999996</v>
      </c>
      <c r="Y945">
        <v>13</v>
      </c>
      <c r="Z945" s="2" t="s">
        <v>44</v>
      </c>
    </row>
    <row r="946" spans="1:26" x14ac:dyDescent="0.25">
      <c r="A946">
        <v>1115</v>
      </c>
      <c r="B946">
        <v>988</v>
      </c>
      <c r="C946" t="s">
        <v>22</v>
      </c>
      <c r="D946" t="s">
        <v>32</v>
      </c>
      <c r="E946" t="s">
        <v>27</v>
      </c>
      <c r="F946" t="s">
        <v>823</v>
      </c>
      <c r="G946" t="str">
        <f>VLOOKUP(F946,Hospitals!E:H,4,FALSE)</f>
        <v>29.66081 , 75.72503</v>
      </c>
      <c r="H946" s="1">
        <v>45650</v>
      </c>
      <c r="I946" s="1">
        <v>45650</v>
      </c>
      <c r="J946">
        <v>43.311999999999998</v>
      </c>
      <c r="K946">
        <v>40.237000000000002</v>
      </c>
      <c r="L946">
        <v>38.636000000000003</v>
      </c>
      <c r="M946">
        <v>5.8819999999999997</v>
      </c>
      <c r="N946">
        <v>4.3479999999999999</v>
      </c>
      <c r="O946">
        <v>4.3479999999999999</v>
      </c>
      <c r="P946">
        <v>5.8819999999999997</v>
      </c>
      <c r="Q946">
        <v>4.3479999999999999</v>
      </c>
      <c r="R946">
        <v>4.3479999999999999</v>
      </c>
      <c r="S946">
        <v>0</v>
      </c>
      <c r="T946">
        <v>0</v>
      </c>
      <c r="U946">
        <v>0</v>
      </c>
      <c r="V946">
        <f t="shared" si="42"/>
        <v>13.768999999999998</v>
      </c>
      <c r="W946">
        <f t="shared" si="43"/>
        <v>12.23325</v>
      </c>
      <c r="X946">
        <f t="shared" si="44"/>
        <v>11.833</v>
      </c>
      <c r="Y946">
        <v>13</v>
      </c>
      <c r="Z946" s="2" t="s">
        <v>34</v>
      </c>
    </row>
    <row r="947" spans="1:26" x14ac:dyDescent="0.25">
      <c r="A947">
        <v>1048</v>
      </c>
      <c r="B947">
        <v>989</v>
      </c>
      <c r="C947" t="s">
        <v>22</v>
      </c>
      <c r="D947" t="s">
        <v>32</v>
      </c>
      <c r="E947" t="s">
        <v>27</v>
      </c>
      <c r="F947" t="s">
        <v>824</v>
      </c>
      <c r="G947" t="str">
        <f>VLOOKUP(F947,Hospitals!E:H,4,FALSE)</f>
        <v>29.61838 , 75.93669</v>
      </c>
      <c r="H947" s="1">
        <v>45554</v>
      </c>
      <c r="I947" t="s">
        <v>35</v>
      </c>
      <c r="J947">
        <v>11.465</v>
      </c>
      <c r="K947">
        <v>10.651</v>
      </c>
      <c r="L947">
        <v>10.227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f t="shared" si="42"/>
        <v>2.86625</v>
      </c>
      <c r="W947">
        <f t="shared" si="43"/>
        <v>2.66275</v>
      </c>
      <c r="X947">
        <f t="shared" si="44"/>
        <v>2.5567500000000001</v>
      </c>
      <c r="Y947">
        <v>13</v>
      </c>
      <c r="Z947" s="2" t="s">
        <v>34</v>
      </c>
    </row>
    <row r="948" spans="1:26" x14ac:dyDescent="0.25">
      <c r="A948">
        <v>1174</v>
      </c>
      <c r="B948">
        <v>991</v>
      </c>
      <c r="C948" t="s">
        <v>22</v>
      </c>
      <c r="D948" t="s">
        <v>42</v>
      </c>
      <c r="E948" t="s">
        <v>30</v>
      </c>
      <c r="F948" t="s">
        <v>825</v>
      </c>
      <c r="G948" t="str">
        <f>VLOOKUP(F948,Hospitals!E:H,4,FALSE)</f>
        <v>29.42566 , 74.60291</v>
      </c>
      <c r="H948" s="1">
        <v>45783</v>
      </c>
      <c r="I948" t="s">
        <v>35</v>
      </c>
      <c r="J948">
        <v>58.598999999999997</v>
      </c>
      <c r="K948">
        <v>55.621000000000002</v>
      </c>
      <c r="L948">
        <v>53.976999999999997</v>
      </c>
      <c r="M948">
        <v>41.176000000000002</v>
      </c>
      <c r="N948">
        <v>39.130000000000003</v>
      </c>
      <c r="O948">
        <v>39.130000000000003</v>
      </c>
      <c r="P948">
        <v>41.176000000000002</v>
      </c>
      <c r="Q948">
        <v>39.130000000000003</v>
      </c>
      <c r="R948">
        <v>39.130000000000003</v>
      </c>
      <c r="S948">
        <v>0</v>
      </c>
      <c r="T948">
        <v>0</v>
      </c>
      <c r="U948">
        <v>7.1429999999999998</v>
      </c>
      <c r="V948">
        <f t="shared" si="42"/>
        <v>35.237750000000005</v>
      </c>
      <c r="W948">
        <f t="shared" si="43"/>
        <v>33.47025</v>
      </c>
      <c r="X948">
        <f t="shared" si="44"/>
        <v>34.844999999999999</v>
      </c>
      <c r="Y948">
        <v>13</v>
      </c>
      <c r="Z948" s="2" t="s">
        <v>44</v>
      </c>
    </row>
    <row r="949" spans="1:26" x14ac:dyDescent="0.25">
      <c r="A949">
        <v>1053</v>
      </c>
      <c r="B949">
        <v>992</v>
      </c>
      <c r="C949" t="s">
        <v>22</v>
      </c>
      <c r="D949" t="s">
        <v>42</v>
      </c>
      <c r="E949" t="s">
        <v>30</v>
      </c>
      <c r="F949" t="s">
        <v>826</v>
      </c>
      <c r="G949" t="str">
        <f>VLOOKUP(F949,Hospitals!E:H,4,FALSE)</f>
        <v>29.12541 , 75.74659</v>
      </c>
      <c r="H949" s="1">
        <v>45684</v>
      </c>
      <c r="I949" s="1">
        <v>45684</v>
      </c>
      <c r="J949">
        <v>95.540999999999997</v>
      </c>
      <c r="K949">
        <v>95.266000000000005</v>
      </c>
      <c r="L949">
        <v>95.454999999999998</v>
      </c>
      <c r="M949">
        <v>70.587999999999994</v>
      </c>
      <c r="N949">
        <v>78.260999999999996</v>
      </c>
      <c r="O949">
        <v>78.260999999999996</v>
      </c>
      <c r="P949">
        <v>70.587999999999994</v>
      </c>
      <c r="Q949">
        <v>78.260999999999996</v>
      </c>
      <c r="R949">
        <v>78.260999999999996</v>
      </c>
      <c r="S949">
        <v>40</v>
      </c>
      <c r="T949">
        <v>25</v>
      </c>
      <c r="U949">
        <v>14.286</v>
      </c>
      <c r="V949">
        <f t="shared" si="42"/>
        <v>69.179249999999996</v>
      </c>
      <c r="W949">
        <f t="shared" si="43"/>
        <v>69.197000000000003</v>
      </c>
      <c r="X949">
        <f t="shared" si="44"/>
        <v>66.565749999999994</v>
      </c>
      <c r="Y949">
        <v>13</v>
      </c>
      <c r="Z949" s="2" t="s">
        <v>44</v>
      </c>
    </row>
    <row r="950" spans="1:26" x14ac:dyDescent="0.25">
      <c r="A950">
        <v>1097</v>
      </c>
      <c r="B950">
        <v>993</v>
      </c>
      <c r="C950" t="s">
        <v>22</v>
      </c>
      <c r="D950" t="s">
        <v>42</v>
      </c>
      <c r="E950" t="s">
        <v>30</v>
      </c>
      <c r="F950" t="s">
        <v>827</v>
      </c>
      <c r="G950" t="str">
        <f>VLOOKUP(F950,Hospitals!E:H,4,FALSE)</f>
        <v>29.1254 , 75.74877</v>
      </c>
      <c r="H950" s="1">
        <v>45684</v>
      </c>
      <c r="I950" s="1">
        <v>45684</v>
      </c>
      <c r="J950">
        <v>97.451999999999998</v>
      </c>
      <c r="K950">
        <v>97.040999999999997</v>
      </c>
      <c r="L950">
        <v>97.159000000000006</v>
      </c>
      <c r="M950">
        <v>76.471000000000004</v>
      </c>
      <c r="N950">
        <v>82.608999999999995</v>
      </c>
      <c r="O950">
        <v>82.608999999999995</v>
      </c>
      <c r="P950">
        <v>76.471000000000004</v>
      </c>
      <c r="Q950">
        <v>82.608999999999995</v>
      </c>
      <c r="R950">
        <v>82.608999999999995</v>
      </c>
      <c r="S950">
        <v>80</v>
      </c>
      <c r="T950">
        <v>75</v>
      </c>
      <c r="U950">
        <v>57.143000000000001</v>
      </c>
      <c r="V950">
        <f t="shared" si="42"/>
        <v>82.598500000000001</v>
      </c>
      <c r="W950">
        <f t="shared" si="43"/>
        <v>84.314749999999989</v>
      </c>
      <c r="X950">
        <f t="shared" si="44"/>
        <v>79.88</v>
      </c>
      <c r="Y950">
        <v>13</v>
      </c>
      <c r="Z950" s="2" t="s">
        <v>44</v>
      </c>
    </row>
    <row r="951" spans="1:26" x14ac:dyDescent="0.25">
      <c r="A951">
        <v>1067</v>
      </c>
      <c r="B951">
        <v>994</v>
      </c>
      <c r="C951" t="s">
        <v>22</v>
      </c>
      <c r="D951" t="s">
        <v>42</v>
      </c>
      <c r="E951" t="s">
        <v>30</v>
      </c>
      <c r="F951" t="s">
        <v>828</v>
      </c>
      <c r="G951" t="str">
        <f>VLOOKUP(F951,Hospitals!E:H,4,FALSE)</f>
        <v>28.6294 , 77.08017</v>
      </c>
      <c r="H951" s="1">
        <v>45569</v>
      </c>
      <c r="I951" s="1">
        <v>45569</v>
      </c>
      <c r="J951">
        <v>99.363</v>
      </c>
      <c r="K951">
        <v>98.816999999999993</v>
      </c>
      <c r="L951">
        <v>98.864000000000004</v>
      </c>
      <c r="M951">
        <v>88.234999999999999</v>
      </c>
      <c r="N951">
        <v>82.608999999999995</v>
      </c>
      <c r="O951">
        <v>82.608999999999995</v>
      </c>
      <c r="P951">
        <v>88.234999999999999</v>
      </c>
      <c r="Q951">
        <v>82.608999999999995</v>
      </c>
      <c r="R951">
        <v>82.608999999999995</v>
      </c>
      <c r="S951">
        <v>30</v>
      </c>
      <c r="T951">
        <v>33.332999999999998</v>
      </c>
      <c r="U951">
        <v>14.286</v>
      </c>
      <c r="V951">
        <f t="shared" si="42"/>
        <v>76.458250000000007</v>
      </c>
      <c r="W951">
        <f t="shared" si="43"/>
        <v>74.341999999999985</v>
      </c>
      <c r="X951">
        <f t="shared" si="44"/>
        <v>69.591999999999999</v>
      </c>
      <c r="Y951">
        <v>13</v>
      </c>
      <c r="Z951" s="2" t="s">
        <v>44</v>
      </c>
    </row>
    <row r="952" spans="1:26" x14ac:dyDescent="0.25">
      <c r="A952">
        <v>1076</v>
      </c>
      <c r="B952">
        <v>996</v>
      </c>
      <c r="C952" t="s">
        <v>22</v>
      </c>
      <c r="D952" t="s">
        <v>508</v>
      </c>
      <c r="E952" t="s">
        <v>30</v>
      </c>
      <c r="F952" t="s">
        <v>829</v>
      </c>
      <c r="G952" t="e">
        <f>VLOOKUP(F952,Hospitals!E:H,4,FALSE)</f>
        <v>#N/A</v>
      </c>
      <c r="H952" s="1">
        <v>45569</v>
      </c>
      <c r="I952" t="s">
        <v>35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f t="shared" si="42"/>
        <v>0</v>
      </c>
      <c r="W952">
        <f t="shared" si="43"/>
        <v>0</v>
      </c>
      <c r="X952">
        <f t="shared" si="44"/>
        <v>0</v>
      </c>
      <c r="Y952">
        <v>13</v>
      </c>
      <c r="Z952" s="2" t="s">
        <v>510</v>
      </c>
    </row>
    <row r="953" spans="1:26" x14ac:dyDescent="0.25">
      <c r="A953">
        <v>1105</v>
      </c>
      <c r="B953">
        <v>997</v>
      </c>
      <c r="C953" t="s">
        <v>22</v>
      </c>
      <c r="D953" t="s">
        <v>42</v>
      </c>
      <c r="E953" t="s">
        <v>30</v>
      </c>
      <c r="F953" t="s">
        <v>830</v>
      </c>
      <c r="G953" t="str">
        <f>VLOOKUP(F953,Hospitals!E:H,4,FALSE)</f>
        <v>29.1242 , 75.74979</v>
      </c>
      <c r="H953" s="1">
        <v>45687</v>
      </c>
      <c r="I953" t="s">
        <v>35</v>
      </c>
      <c r="J953">
        <v>23.567</v>
      </c>
      <c r="K953">
        <v>26.036000000000001</v>
      </c>
      <c r="L953">
        <v>26.704999999999998</v>
      </c>
      <c r="M953">
        <v>58.823999999999998</v>
      </c>
      <c r="N953">
        <v>56.521999999999998</v>
      </c>
      <c r="O953">
        <v>56.521999999999998</v>
      </c>
      <c r="P953">
        <v>58.823999999999998</v>
      </c>
      <c r="Q953">
        <v>56.521999999999998</v>
      </c>
      <c r="R953">
        <v>56.521999999999998</v>
      </c>
      <c r="S953">
        <v>20</v>
      </c>
      <c r="T953">
        <v>16.667000000000002</v>
      </c>
      <c r="U953">
        <v>7.1429999999999998</v>
      </c>
      <c r="V953">
        <f t="shared" si="42"/>
        <v>40.303749999999994</v>
      </c>
      <c r="W953">
        <f t="shared" si="43"/>
        <v>38.936749999999996</v>
      </c>
      <c r="X953">
        <f t="shared" si="44"/>
        <v>36.722999999999999</v>
      </c>
      <c r="Y953">
        <v>13</v>
      </c>
      <c r="Z953" s="2" t="s">
        <v>44</v>
      </c>
    </row>
    <row r="954" spans="1:26" x14ac:dyDescent="0.25">
      <c r="A954">
        <v>1104</v>
      </c>
      <c r="B954">
        <v>998</v>
      </c>
      <c r="C954" t="s">
        <v>22</v>
      </c>
      <c r="D954" t="s">
        <v>32</v>
      </c>
      <c r="E954" t="s">
        <v>30</v>
      </c>
      <c r="F954" t="s">
        <v>831</v>
      </c>
      <c r="G954" t="e">
        <f>VLOOKUP(F954,Hospitals!E:H,4,FALSE)</f>
        <v>#N/A</v>
      </c>
      <c r="H954" s="1">
        <v>45622</v>
      </c>
      <c r="I954" t="s">
        <v>35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f t="shared" si="42"/>
        <v>0</v>
      </c>
      <c r="W954">
        <f t="shared" si="43"/>
        <v>0</v>
      </c>
      <c r="X954">
        <f t="shared" si="44"/>
        <v>0</v>
      </c>
      <c r="Y954">
        <v>13</v>
      </c>
      <c r="Z954" s="2" t="s">
        <v>34</v>
      </c>
    </row>
    <row r="955" spans="1:26" x14ac:dyDescent="0.25">
      <c r="A955">
        <v>1106</v>
      </c>
      <c r="B955">
        <v>999</v>
      </c>
      <c r="C955" t="s">
        <v>22</v>
      </c>
      <c r="D955" t="s">
        <v>32</v>
      </c>
      <c r="E955" t="s">
        <v>30</v>
      </c>
      <c r="F955" t="s">
        <v>832</v>
      </c>
      <c r="G955" t="str">
        <f>VLOOKUP(F955,Hospitals!E:H,4,FALSE)</f>
        <v>30.90096 , 75.85728</v>
      </c>
      <c r="H955" s="1">
        <v>45646</v>
      </c>
      <c r="I955" s="1">
        <v>45646</v>
      </c>
      <c r="J955">
        <v>88.534999999999997</v>
      </c>
      <c r="K955">
        <v>85.206999999999994</v>
      </c>
      <c r="L955">
        <v>81.817999999999998</v>
      </c>
      <c r="M955">
        <v>94.117999999999995</v>
      </c>
      <c r="N955">
        <v>91.304000000000002</v>
      </c>
      <c r="O955">
        <v>91.304000000000002</v>
      </c>
      <c r="P955">
        <v>94.117999999999995</v>
      </c>
      <c r="Q955">
        <v>91.304000000000002</v>
      </c>
      <c r="R955">
        <v>91.304000000000002</v>
      </c>
      <c r="S955">
        <v>10</v>
      </c>
      <c r="T955">
        <v>8.3330000000000002</v>
      </c>
      <c r="U955">
        <v>0</v>
      </c>
      <c r="V955">
        <f t="shared" si="42"/>
        <v>71.69274999999999</v>
      </c>
      <c r="W955">
        <f t="shared" si="43"/>
        <v>69.037000000000006</v>
      </c>
      <c r="X955">
        <f t="shared" si="44"/>
        <v>66.106500000000011</v>
      </c>
      <c r="Y955">
        <v>13</v>
      </c>
      <c r="Z955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CAF4-02B1-4FE5-A7B5-3D1DE245EE84}">
  <dimension ref="A1:T844"/>
  <sheetViews>
    <sheetView topLeftCell="A122" workbookViewId="0">
      <selection activeCell="E267" sqref="E267"/>
    </sheetView>
  </sheetViews>
  <sheetFormatPr defaultRowHeight="15" x14ac:dyDescent="0.25"/>
  <cols>
    <col min="4" max="4" width="14.28515625" bestFit="1" customWidth="1"/>
    <col min="5" max="5" width="34.28515625" customWidth="1"/>
    <col min="7" max="7" width="12.7109375" customWidth="1"/>
    <col min="8" max="8" width="20.7109375" customWidth="1"/>
    <col min="9" max="9" width="19.28515625" customWidth="1"/>
  </cols>
  <sheetData>
    <row r="1" spans="1:20" x14ac:dyDescent="0.25">
      <c r="A1" t="s">
        <v>833</v>
      </c>
      <c r="B1" t="s">
        <v>834</v>
      </c>
      <c r="C1" t="s">
        <v>835</v>
      </c>
      <c r="D1" t="s">
        <v>836</v>
      </c>
      <c r="E1" t="s">
        <v>837</v>
      </c>
      <c r="F1" t="s">
        <v>838</v>
      </c>
      <c r="G1" t="s">
        <v>839</v>
      </c>
      <c r="H1" t="s">
        <v>840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737</v>
      </c>
      <c r="B2">
        <v>690</v>
      </c>
      <c r="C2" t="s">
        <v>22</v>
      </c>
      <c r="D2" t="s">
        <v>239</v>
      </c>
      <c r="E2" t="s">
        <v>616</v>
      </c>
      <c r="F2">
        <v>136027</v>
      </c>
      <c r="G2" t="s">
        <v>30</v>
      </c>
      <c r="H2" t="s">
        <v>841</v>
      </c>
      <c r="I2" t="e" cm="1">
        <f t="array" ref="I2">VLOOKUP(E2,TPL!A:Z,9,FLASE)</f>
        <v>#NAME?</v>
      </c>
    </row>
    <row r="3" spans="1:20" x14ac:dyDescent="0.25">
      <c r="A3">
        <v>101</v>
      </c>
      <c r="B3">
        <v>631</v>
      </c>
      <c r="C3" t="s">
        <v>22</v>
      </c>
      <c r="D3" t="s">
        <v>29</v>
      </c>
      <c r="E3" t="s">
        <v>842</v>
      </c>
      <c r="F3">
        <v>122017</v>
      </c>
      <c r="G3" t="s">
        <v>30</v>
      </c>
      <c r="H3" t="s">
        <v>843</v>
      </c>
    </row>
    <row r="4" spans="1:20" x14ac:dyDescent="0.25">
      <c r="A4">
        <v>499</v>
      </c>
      <c r="B4">
        <v>390</v>
      </c>
      <c r="C4" t="s">
        <v>22</v>
      </c>
      <c r="D4" t="s">
        <v>367</v>
      </c>
      <c r="E4" t="s">
        <v>409</v>
      </c>
      <c r="F4">
        <v>132103</v>
      </c>
      <c r="G4" t="s">
        <v>30</v>
      </c>
      <c r="H4" t="s">
        <v>844</v>
      </c>
    </row>
    <row r="5" spans="1:20" x14ac:dyDescent="0.25">
      <c r="A5">
        <v>195</v>
      </c>
      <c r="B5">
        <v>381</v>
      </c>
      <c r="C5" t="s">
        <v>22</v>
      </c>
      <c r="D5" t="s">
        <v>140</v>
      </c>
      <c r="E5" t="s">
        <v>163</v>
      </c>
      <c r="F5">
        <v>133103</v>
      </c>
      <c r="G5" t="s">
        <v>27</v>
      </c>
      <c r="H5" t="s">
        <v>845</v>
      </c>
    </row>
    <row r="6" spans="1:20" x14ac:dyDescent="0.25">
      <c r="A6">
        <v>352</v>
      </c>
      <c r="B6">
        <v>296</v>
      </c>
      <c r="C6" t="s">
        <v>22</v>
      </c>
      <c r="D6" t="s">
        <v>298</v>
      </c>
      <c r="E6" t="s">
        <v>299</v>
      </c>
      <c r="F6">
        <v>136119</v>
      </c>
      <c r="G6" t="s">
        <v>24</v>
      </c>
      <c r="H6" t="s">
        <v>846</v>
      </c>
    </row>
    <row r="7" spans="1:20" x14ac:dyDescent="0.25">
      <c r="A7">
        <v>549</v>
      </c>
      <c r="B7">
        <v>809</v>
      </c>
      <c r="C7" t="s">
        <v>22</v>
      </c>
      <c r="D7" t="s">
        <v>453</v>
      </c>
      <c r="E7" t="s">
        <v>463</v>
      </c>
      <c r="F7">
        <v>125077</v>
      </c>
      <c r="G7" t="s">
        <v>27</v>
      </c>
      <c r="H7" t="s">
        <v>847</v>
      </c>
    </row>
    <row r="8" spans="1:20" x14ac:dyDescent="0.25">
      <c r="A8">
        <v>5</v>
      </c>
      <c r="B8">
        <v>747</v>
      </c>
      <c r="C8" t="s">
        <v>22</v>
      </c>
      <c r="D8" t="s">
        <v>23</v>
      </c>
      <c r="E8" t="s">
        <v>410</v>
      </c>
      <c r="F8">
        <v>134203</v>
      </c>
      <c r="G8" t="s">
        <v>24</v>
      </c>
      <c r="H8" t="s">
        <v>848</v>
      </c>
    </row>
    <row r="9" spans="1:20" x14ac:dyDescent="0.25">
      <c r="A9">
        <v>180</v>
      </c>
      <c r="B9">
        <v>385</v>
      </c>
      <c r="C9" t="s">
        <v>22</v>
      </c>
      <c r="D9" t="s">
        <v>140</v>
      </c>
      <c r="E9" t="s">
        <v>147</v>
      </c>
      <c r="F9">
        <v>135001</v>
      </c>
      <c r="G9" t="s">
        <v>24</v>
      </c>
      <c r="H9" t="s">
        <v>848</v>
      </c>
    </row>
    <row r="10" spans="1:20" x14ac:dyDescent="0.25">
      <c r="A10">
        <v>377</v>
      </c>
      <c r="B10">
        <v>318</v>
      </c>
      <c r="C10" t="s">
        <v>22</v>
      </c>
      <c r="D10" t="s">
        <v>298</v>
      </c>
      <c r="E10" t="s">
        <v>321</v>
      </c>
      <c r="F10">
        <v>136118</v>
      </c>
      <c r="G10" t="s">
        <v>30</v>
      </c>
      <c r="H10" t="s">
        <v>849</v>
      </c>
    </row>
    <row r="11" spans="1:20" x14ac:dyDescent="0.25">
      <c r="A11">
        <v>590</v>
      </c>
      <c r="B11">
        <v>625</v>
      </c>
      <c r="C11" t="s">
        <v>22</v>
      </c>
      <c r="D11" t="s">
        <v>140</v>
      </c>
      <c r="E11" t="s">
        <v>366</v>
      </c>
      <c r="F11">
        <v>135003</v>
      </c>
      <c r="G11" t="s">
        <v>30</v>
      </c>
      <c r="H11" t="s">
        <v>850</v>
      </c>
    </row>
    <row r="12" spans="1:20" x14ac:dyDescent="0.25">
      <c r="A12">
        <v>187</v>
      </c>
      <c r="B12">
        <v>414</v>
      </c>
      <c r="C12" t="s">
        <v>22</v>
      </c>
      <c r="D12" t="s">
        <v>140</v>
      </c>
      <c r="E12" t="s">
        <v>154</v>
      </c>
      <c r="F12">
        <v>135133</v>
      </c>
      <c r="G12" t="s">
        <v>27</v>
      </c>
      <c r="H12" t="s">
        <v>851</v>
      </c>
    </row>
    <row r="13" spans="1:20" x14ac:dyDescent="0.25">
      <c r="A13">
        <v>421</v>
      </c>
      <c r="B13">
        <v>585</v>
      </c>
      <c r="C13" t="s">
        <v>22</v>
      </c>
      <c r="D13" t="s">
        <v>333</v>
      </c>
      <c r="E13" t="s">
        <v>343</v>
      </c>
      <c r="F13">
        <v>122104</v>
      </c>
      <c r="G13" t="s">
        <v>27</v>
      </c>
      <c r="H13" t="s">
        <v>852</v>
      </c>
    </row>
    <row r="14" spans="1:20" x14ac:dyDescent="0.25">
      <c r="A14">
        <v>958</v>
      </c>
      <c r="B14">
        <v>965</v>
      </c>
      <c r="C14" t="s">
        <v>22</v>
      </c>
      <c r="D14" t="s">
        <v>328</v>
      </c>
      <c r="E14" t="s">
        <v>798</v>
      </c>
      <c r="F14">
        <v>127041</v>
      </c>
      <c r="G14" t="s">
        <v>27</v>
      </c>
      <c r="H14" t="s">
        <v>853</v>
      </c>
    </row>
    <row r="15" spans="1:20" x14ac:dyDescent="0.25">
      <c r="A15">
        <v>465</v>
      </c>
      <c r="B15">
        <v>788</v>
      </c>
      <c r="C15" t="s">
        <v>22</v>
      </c>
      <c r="D15" t="s">
        <v>367</v>
      </c>
      <c r="E15" t="s">
        <v>377</v>
      </c>
      <c r="F15">
        <v>130102</v>
      </c>
      <c r="G15" t="s">
        <v>27</v>
      </c>
      <c r="H15" t="s">
        <v>854</v>
      </c>
    </row>
    <row r="16" spans="1:20" x14ac:dyDescent="0.25">
      <c r="A16">
        <v>268</v>
      </c>
      <c r="B16">
        <v>520</v>
      </c>
      <c r="C16" t="s">
        <v>22</v>
      </c>
      <c r="D16" t="s">
        <v>239</v>
      </c>
      <c r="E16" t="s">
        <v>242</v>
      </c>
      <c r="F16">
        <v>136026</v>
      </c>
      <c r="G16" t="s">
        <v>24</v>
      </c>
      <c r="H16" t="s">
        <v>855</v>
      </c>
    </row>
    <row r="17" spans="1:8" x14ac:dyDescent="0.25">
      <c r="A17">
        <v>182</v>
      </c>
      <c r="B17">
        <v>293</v>
      </c>
      <c r="C17" t="s">
        <v>22</v>
      </c>
      <c r="D17" t="s">
        <v>140</v>
      </c>
      <c r="E17" t="s">
        <v>149</v>
      </c>
      <c r="F17">
        <v>135001</v>
      </c>
      <c r="G17" t="s">
        <v>62</v>
      </c>
      <c r="H17" t="s">
        <v>856</v>
      </c>
    </row>
    <row r="18" spans="1:8" x14ac:dyDescent="0.25">
      <c r="A18">
        <v>740</v>
      </c>
      <c r="B18">
        <v>395</v>
      </c>
      <c r="C18" t="s">
        <v>22</v>
      </c>
      <c r="D18" t="s">
        <v>239</v>
      </c>
      <c r="E18" t="s">
        <v>620</v>
      </c>
      <c r="F18">
        <v>136027</v>
      </c>
      <c r="G18" t="s">
        <v>30</v>
      </c>
      <c r="H18" t="s">
        <v>857</v>
      </c>
    </row>
    <row r="19" spans="1:8" x14ac:dyDescent="0.25">
      <c r="A19">
        <v>560</v>
      </c>
      <c r="B19">
        <v>498</v>
      </c>
      <c r="C19" t="s">
        <v>22</v>
      </c>
      <c r="D19" t="s">
        <v>453</v>
      </c>
      <c r="E19" t="s">
        <v>474</v>
      </c>
      <c r="F19">
        <v>125103</v>
      </c>
      <c r="G19" t="s">
        <v>27</v>
      </c>
      <c r="H19" t="s">
        <v>858</v>
      </c>
    </row>
    <row r="20" spans="1:8" x14ac:dyDescent="0.25">
      <c r="A20">
        <v>80</v>
      </c>
      <c r="B20">
        <v>628</v>
      </c>
      <c r="C20" t="s">
        <v>22</v>
      </c>
      <c r="D20" t="s">
        <v>29</v>
      </c>
      <c r="E20" t="s">
        <v>659</v>
      </c>
      <c r="G20" t="s">
        <v>30</v>
      </c>
      <c r="H20" t="s">
        <v>859</v>
      </c>
    </row>
    <row r="21" spans="1:8" x14ac:dyDescent="0.25">
      <c r="A21">
        <v>211</v>
      </c>
      <c r="B21">
        <v>826</v>
      </c>
      <c r="C21" t="s">
        <v>22</v>
      </c>
      <c r="D21" t="s">
        <v>166</v>
      </c>
      <c r="E21" t="s">
        <v>182</v>
      </c>
      <c r="F21">
        <v>124142</v>
      </c>
      <c r="G21" t="s">
        <v>27</v>
      </c>
      <c r="H21" t="s">
        <v>860</v>
      </c>
    </row>
    <row r="22" spans="1:8" x14ac:dyDescent="0.25">
      <c r="A22">
        <v>366</v>
      </c>
      <c r="B22">
        <v>301</v>
      </c>
      <c r="C22" t="s">
        <v>22</v>
      </c>
      <c r="D22" t="s">
        <v>298</v>
      </c>
      <c r="E22" t="s">
        <v>314</v>
      </c>
      <c r="F22">
        <v>136132</v>
      </c>
      <c r="G22" t="s">
        <v>27</v>
      </c>
      <c r="H22" t="s">
        <v>861</v>
      </c>
    </row>
    <row r="23" spans="1:8" x14ac:dyDescent="0.25">
      <c r="A23">
        <v>498</v>
      </c>
      <c r="B23">
        <v>371</v>
      </c>
      <c r="C23" t="s">
        <v>22</v>
      </c>
      <c r="D23" t="s">
        <v>367</v>
      </c>
      <c r="E23" t="s">
        <v>408</v>
      </c>
      <c r="F23">
        <v>132103</v>
      </c>
      <c r="G23" t="s">
        <v>30</v>
      </c>
      <c r="H23" t="s">
        <v>862</v>
      </c>
    </row>
    <row r="24" spans="1:8" x14ac:dyDescent="0.25">
      <c r="A24">
        <v>178</v>
      </c>
      <c r="B24">
        <v>393</v>
      </c>
      <c r="C24" t="s">
        <v>22</v>
      </c>
      <c r="D24" t="s">
        <v>140</v>
      </c>
      <c r="E24" t="s">
        <v>144</v>
      </c>
      <c r="F24">
        <v>133204</v>
      </c>
      <c r="G24" t="s">
        <v>24</v>
      </c>
      <c r="H24" t="s">
        <v>863</v>
      </c>
    </row>
    <row r="25" spans="1:8" x14ac:dyDescent="0.25">
      <c r="A25">
        <v>45</v>
      </c>
      <c r="B25">
        <v>1163</v>
      </c>
      <c r="C25" t="s">
        <v>22</v>
      </c>
      <c r="D25" t="s">
        <v>328</v>
      </c>
      <c r="E25" t="s">
        <v>366</v>
      </c>
      <c r="G25" t="s">
        <v>30</v>
      </c>
      <c r="H25" t="s">
        <v>864</v>
      </c>
    </row>
    <row r="26" spans="1:8" x14ac:dyDescent="0.25">
      <c r="A26">
        <v>292</v>
      </c>
      <c r="B26">
        <v>1128</v>
      </c>
      <c r="C26" t="s">
        <v>22</v>
      </c>
      <c r="D26" t="s">
        <v>254</v>
      </c>
      <c r="E26" t="s">
        <v>265</v>
      </c>
      <c r="F26">
        <v>132114</v>
      </c>
      <c r="G26" t="s">
        <v>27</v>
      </c>
      <c r="H26" t="s">
        <v>865</v>
      </c>
    </row>
    <row r="27" spans="1:8" x14ac:dyDescent="0.25">
      <c r="A27">
        <v>315</v>
      </c>
      <c r="B27">
        <v>324</v>
      </c>
      <c r="C27" t="s">
        <v>22</v>
      </c>
      <c r="D27" t="s">
        <v>254</v>
      </c>
      <c r="E27" t="s">
        <v>282</v>
      </c>
      <c r="F27">
        <v>132001</v>
      </c>
      <c r="G27" t="s">
        <v>30</v>
      </c>
      <c r="H27" t="s">
        <v>866</v>
      </c>
    </row>
    <row r="28" spans="1:8" x14ac:dyDescent="0.25">
      <c r="A28">
        <v>550</v>
      </c>
      <c r="B28">
        <v>796</v>
      </c>
      <c r="C28" t="s">
        <v>22</v>
      </c>
      <c r="D28" t="s">
        <v>453</v>
      </c>
      <c r="E28" t="s">
        <v>464</v>
      </c>
      <c r="F28">
        <v>125075</v>
      </c>
      <c r="G28" t="s">
        <v>27</v>
      </c>
      <c r="H28" t="s">
        <v>867</v>
      </c>
    </row>
    <row r="29" spans="1:8" x14ac:dyDescent="0.25">
      <c r="A29">
        <v>493</v>
      </c>
      <c r="B29">
        <v>369</v>
      </c>
      <c r="C29" t="s">
        <v>22</v>
      </c>
      <c r="D29" t="s">
        <v>367</v>
      </c>
      <c r="E29" t="s">
        <v>404</v>
      </c>
      <c r="F29">
        <v>132103</v>
      </c>
      <c r="G29" t="s">
        <v>30</v>
      </c>
      <c r="H29" t="s">
        <v>868</v>
      </c>
    </row>
    <row r="30" spans="1:8" x14ac:dyDescent="0.25">
      <c r="A30">
        <v>694</v>
      </c>
      <c r="B30">
        <v>437</v>
      </c>
      <c r="C30" t="s">
        <v>22</v>
      </c>
      <c r="D30" t="s">
        <v>508</v>
      </c>
      <c r="E30" t="s">
        <v>576</v>
      </c>
      <c r="F30">
        <v>121004</v>
      </c>
      <c r="G30" t="s">
        <v>27</v>
      </c>
      <c r="H30" t="s">
        <v>869</v>
      </c>
    </row>
    <row r="31" spans="1:8" x14ac:dyDescent="0.25">
      <c r="A31">
        <v>571</v>
      </c>
      <c r="B31">
        <v>421</v>
      </c>
      <c r="C31" t="s">
        <v>22</v>
      </c>
      <c r="D31" t="s">
        <v>453</v>
      </c>
      <c r="E31" t="s">
        <v>486</v>
      </c>
      <c r="F31">
        <v>125101</v>
      </c>
      <c r="G31" t="s">
        <v>77</v>
      </c>
      <c r="H31" t="s">
        <v>870</v>
      </c>
    </row>
    <row r="32" spans="1:8" x14ac:dyDescent="0.25">
      <c r="A32">
        <v>546</v>
      </c>
      <c r="B32">
        <v>419</v>
      </c>
      <c r="C32" t="s">
        <v>22</v>
      </c>
      <c r="D32" t="s">
        <v>453</v>
      </c>
      <c r="E32" t="s">
        <v>460</v>
      </c>
      <c r="F32">
        <v>125201</v>
      </c>
      <c r="G32" t="s">
        <v>24</v>
      </c>
      <c r="H32" t="s">
        <v>871</v>
      </c>
    </row>
    <row r="33" spans="1:8" x14ac:dyDescent="0.25">
      <c r="A33">
        <v>719</v>
      </c>
      <c r="B33">
        <v>442</v>
      </c>
      <c r="C33" t="s">
        <v>22</v>
      </c>
      <c r="D33" t="s">
        <v>239</v>
      </c>
      <c r="E33" t="s">
        <v>599</v>
      </c>
      <c r="G33" t="s">
        <v>27</v>
      </c>
      <c r="H33" t="s">
        <v>872</v>
      </c>
    </row>
    <row r="34" spans="1:8" x14ac:dyDescent="0.25">
      <c r="A34">
        <v>459</v>
      </c>
      <c r="B34">
        <v>406</v>
      </c>
      <c r="C34" t="s">
        <v>22</v>
      </c>
      <c r="D34" t="s">
        <v>367</v>
      </c>
      <c r="E34" t="s">
        <v>371</v>
      </c>
      <c r="F34">
        <v>132140</v>
      </c>
      <c r="G34" t="s">
        <v>24</v>
      </c>
      <c r="H34" t="s">
        <v>873</v>
      </c>
    </row>
    <row r="35" spans="1:8" x14ac:dyDescent="0.25">
      <c r="A35">
        <v>356</v>
      </c>
      <c r="B35">
        <v>1035</v>
      </c>
      <c r="C35" t="s">
        <v>22</v>
      </c>
      <c r="D35" t="s">
        <v>298</v>
      </c>
      <c r="E35" t="s">
        <v>304</v>
      </c>
      <c r="F35">
        <v>136131</v>
      </c>
      <c r="G35" t="s">
        <v>24</v>
      </c>
      <c r="H35" t="s">
        <v>841</v>
      </c>
    </row>
    <row r="36" spans="1:8" x14ac:dyDescent="0.25">
      <c r="A36">
        <v>814</v>
      </c>
      <c r="B36">
        <v>661</v>
      </c>
      <c r="C36" t="s">
        <v>22</v>
      </c>
      <c r="D36" t="s">
        <v>453</v>
      </c>
      <c r="E36" t="s">
        <v>672</v>
      </c>
      <c r="F36">
        <v>125055</v>
      </c>
      <c r="G36" t="s">
        <v>30</v>
      </c>
      <c r="H36" t="s">
        <v>874</v>
      </c>
    </row>
    <row r="37" spans="1:8" x14ac:dyDescent="0.25">
      <c r="A37">
        <v>358</v>
      </c>
      <c r="B37">
        <v>791</v>
      </c>
      <c r="C37" t="s">
        <v>22</v>
      </c>
      <c r="D37" t="s">
        <v>298</v>
      </c>
      <c r="E37" t="s">
        <v>306</v>
      </c>
      <c r="F37">
        <v>136038</v>
      </c>
      <c r="G37" t="s">
        <v>27</v>
      </c>
      <c r="H37" t="s">
        <v>875</v>
      </c>
    </row>
    <row r="38" spans="1:8" x14ac:dyDescent="0.25">
      <c r="A38">
        <v>559</v>
      </c>
      <c r="B38">
        <v>478</v>
      </c>
      <c r="C38" t="s">
        <v>22</v>
      </c>
      <c r="D38" t="s">
        <v>453</v>
      </c>
      <c r="E38" t="s">
        <v>472</v>
      </c>
      <c r="F38">
        <v>125104</v>
      </c>
      <c r="G38" t="s">
        <v>27</v>
      </c>
      <c r="H38" t="s">
        <v>874</v>
      </c>
    </row>
    <row r="39" spans="1:8" x14ac:dyDescent="0.25">
      <c r="A39">
        <v>1000</v>
      </c>
      <c r="B39">
        <v>1118</v>
      </c>
      <c r="C39" t="s">
        <v>22</v>
      </c>
      <c r="D39" t="s">
        <v>32</v>
      </c>
      <c r="E39" t="s">
        <v>33</v>
      </c>
      <c r="F39">
        <v>125120</v>
      </c>
      <c r="G39" t="s">
        <v>30</v>
      </c>
      <c r="H39" t="s">
        <v>876</v>
      </c>
    </row>
    <row r="40" spans="1:8" x14ac:dyDescent="0.25">
      <c r="A40">
        <v>884</v>
      </c>
      <c r="B40">
        <v>929</v>
      </c>
      <c r="C40" t="s">
        <v>22</v>
      </c>
      <c r="D40" t="s">
        <v>453</v>
      </c>
      <c r="E40" t="s">
        <v>729</v>
      </c>
      <c r="F40">
        <v>125055</v>
      </c>
      <c r="G40" t="s">
        <v>30</v>
      </c>
      <c r="H40" t="s">
        <v>877</v>
      </c>
    </row>
    <row r="41" spans="1:8" x14ac:dyDescent="0.25">
      <c r="A41">
        <v>693</v>
      </c>
      <c r="B41">
        <v>448</v>
      </c>
      <c r="C41" t="s">
        <v>22</v>
      </c>
      <c r="D41" t="s">
        <v>508</v>
      </c>
      <c r="E41" t="s">
        <v>575</v>
      </c>
      <c r="F41">
        <v>121004</v>
      </c>
      <c r="G41" t="s">
        <v>27</v>
      </c>
      <c r="H41" t="s">
        <v>878</v>
      </c>
    </row>
    <row r="42" spans="1:8" x14ac:dyDescent="0.25">
      <c r="A42">
        <v>191</v>
      </c>
      <c r="B42">
        <v>387</v>
      </c>
      <c r="C42" t="s">
        <v>22</v>
      </c>
      <c r="D42" t="s">
        <v>140</v>
      </c>
      <c r="E42" t="s">
        <v>159</v>
      </c>
      <c r="F42">
        <v>135101</v>
      </c>
      <c r="G42" t="s">
        <v>27</v>
      </c>
      <c r="H42" t="s">
        <v>879</v>
      </c>
    </row>
    <row r="43" spans="1:8" x14ac:dyDescent="0.25">
      <c r="A43">
        <v>176</v>
      </c>
      <c r="B43">
        <v>315</v>
      </c>
      <c r="C43" t="s">
        <v>22</v>
      </c>
      <c r="D43" t="s">
        <v>140</v>
      </c>
      <c r="E43" t="s">
        <v>141</v>
      </c>
      <c r="F43">
        <v>135103</v>
      </c>
      <c r="G43" t="s">
        <v>24</v>
      </c>
      <c r="H43" t="s">
        <v>880</v>
      </c>
    </row>
    <row r="44" spans="1:8" x14ac:dyDescent="0.25">
      <c r="A44">
        <v>608</v>
      </c>
      <c r="B44">
        <v>438</v>
      </c>
      <c r="C44" t="s">
        <v>22</v>
      </c>
      <c r="D44" t="s">
        <v>140</v>
      </c>
      <c r="E44" t="s">
        <v>517</v>
      </c>
      <c r="F44">
        <v>135001</v>
      </c>
      <c r="G44" t="s">
        <v>30</v>
      </c>
      <c r="H44" t="s">
        <v>881</v>
      </c>
    </row>
    <row r="45" spans="1:8" x14ac:dyDescent="0.25">
      <c r="A45">
        <v>483</v>
      </c>
      <c r="B45">
        <v>316</v>
      </c>
      <c r="C45" t="s">
        <v>22</v>
      </c>
      <c r="D45" t="s">
        <v>367</v>
      </c>
      <c r="E45" t="s">
        <v>395</v>
      </c>
      <c r="F45">
        <v>132103</v>
      </c>
      <c r="G45" t="s">
        <v>30</v>
      </c>
      <c r="H45" t="s">
        <v>844</v>
      </c>
    </row>
    <row r="46" spans="1:8" x14ac:dyDescent="0.25">
      <c r="A46">
        <v>275</v>
      </c>
      <c r="B46">
        <v>357</v>
      </c>
      <c r="C46" t="s">
        <v>22</v>
      </c>
      <c r="D46" t="s">
        <v>239</v>
      </c>
      <c r="E46" t="s">
        <v>249</v>
      </c>
      <c r="F46">
        <v>136044</v>
      </c>
      <c r="G46" t="s">
        <v>27</v>
      </c>
      <c r="H46" t="s">
        <v>882</v>
      </c>
    </row>
    <row r="47" spans="1:8" x14ac:dyDescent="0.25">
      <c r="A47">
        <v>189</v>
      </c>
      <c r="B47">
        <v>405</v>
      </c>
      <c r="C47" t="s">
        <v>22</v>
      </c>
      <c r="D47" t="s">
        <v>140</v>
      </c>
      <c r="E47" t="s">
        <v>156</v>
      </c>
      <c r="F47">
        <v>135001</v>
      </c>
      <c r="G47" t="s">
        <v>27</v>
      </c>
      <c r="H47" t="s">
        <v>883</v>
      </c>
    </row>
    <row r="48" spans="1:8" x14ac:dyDescent="0.25">
      <c r="A48">
        <v>728</v>
      </c>
      <c r="B48">
        <v>571</v>
      </c>
      <c r="C48" t="s">
        <v>22</v>
      </c>
      <c r="D48" t="s">
        <v>239</v>
      </c>
      <c r="E48" t="s">
        <v>608</v>
      </c>
      <c r="G48" t="s">
        <v>27</v>
      </c>
      <c r="H48" t="s">
        <v>884</v>
      </c>
    </row>
    <row r="49" spans="1:8" x14ac:dyDescent="0.25">
      <c r="A49">
        <v>186</v>
      </c>
      <c r="B49">
        <v>429</v>
      </c>
      <c r="C49" t="s">
        <v>22</v>
      </c>
      <c r="D49" t="s">
        <v>140</v>
      </c>
      <c r="E49" t="s">
        <v>153</v>
      </c>
      <c r="F49">
        <v>135102</v>
      </c>
      <c r="G49" t="s">
        <v>27</v>
      </c>
      <c r="H49" t="s">
        <v>885</v>
      </c>
    </row>
    <row r="50" spans="1:8" x14ac:dyDescent="0.25">
      <c r="A50">
        <v>540</v>
      </c>
      <c r="B50">
        <v>773</v>
      </c>
      <c r="C50" t="s">
        <v>22</v>
      </c>
      <c r="D50" t="s">
        <v>440</v>
      </c>
      <c r="E50" t="s">
        <v>452</v>
      </c>
      <c r="F50">
        <v>123301</v>
      </c>
      <c r="G50" t="s">
        <v>27</v>
      </c>
      <c r="H50" t="s">
        <v>886</v>
      </c>
    </row>
    <row r="51" spans="1:8" x14ac:dyDescent="0.25">
      <c r="A51">
        <v>140</v>
      </c>
      <c r="B51">
        <v>1066</v>
      </c>
      <c r="C51" t="s">
        <v>22</v>
      </c>
      <c r="D51" t="s">
        <v>42</v>
      </c>
      <c r="E51" t="s">
        <v>124</v>
      </c>
      <c r="F51">
        <v>125049</v>
      </c>
      <c r="G51" t="s">
        <v>27</v>
      </c>
      <c r="H51" t="s">
        <v>887</v>
      </c>
    </row>
    <row r="52" spans="1:8" x14ac:dyDescent="0.25">
      <c r="A52">
        <v>481</v>
      </c>
      <c r="B52">
        <v>317</v>
      </c>
      <c r="C52" t="s">
        <v>22</v>
      </c>
      <c r="D52" t="s">
        <v>367</v>
      </c>
      <c r="E52" t="s">
        <v>394</v>
      </c>
      <c r="F52">
        <v>132103</v>
      </c>
      <c r="G52" t="s">
        <v>30</v>
      </c>
      <c r="H52" t="s">
        <v>888</v>
      </c>
    </row>
    <row r="53" spans="1:8" x14ac:dyDescent="0.25">
      <c r="A53">
        <v>185</v>
      </c>
      <c r="B53">
        <v>348</v>
      </c>
      <c r="C53" t="s">
        <v>22</v>
      </c>
      <c r="D53" t="s">
        <v>140</v>
      </c>
      <c r="E53" t="s">
        <v>152</v>
      </c>
      <c r="F53">
        <v>135102</v>
      </c>
      <c r="G53" t="s">
        <v>27</v>
      </c>
      <c r="H53" t="s">
        <v>889</v>
      </c>
    </row>
    <row r="54" spans="1:8" x14ac:dyDescent="0.25">
      <c r="A54">
        <v>11</v>
      </c>
      <c r="B54">
        <v>904</v>
      </c>
      <c r="C54" t="s">
        <v>22</v>
      </c>
      <c r="D54" t="s">
        <v>23</v>
      </c>
      <c r="E54" t="s">
        <v>61</v>
      </c>
      <c r="F54">
        <v>134003</v>
      </c>
      <c r="G54" t="s">
        <v>27</v>
      </c>
      <c r="H54" t="s">
        <v>890</v>
      </c>
    </row>
    <row r="55" spans="1:8" x14ac:dyDescent="0.25">
      <c r="A55">
        <v>599</v>
      </c>
      <c r="B55">
        <v>568</v>
      </c>
      <c r="C55" t="s">
        <v>22</v>
      </c>
      <c r="D55" t="s">
        <v>140</v>
      </c>
      <c r="E55" t="s">
        <v>506</v>
      </c>
      <c r="F55">
        <v>135001</v>
      </c>
      <c r="G55" t="s">
        <v>30</v>
      </c>
      <c r="H55" t="s">
        <v>891</v>
      </c>
    </row>
    <row r="56" spans="1:8" x14ac:dyDescent="0.25">
      <c r="A56">
        <v>432</v>
      </c>
      <c r="B56">
        <v>586</v>
      </c>
      <c r="C56" t="s">
        <v>22</v>
      </c>
      <c r="D56" t="s">
        <v>333</v>
      </c>
      <c r="E56" t="s">
        <v>355</v>
      </c>
      <c r="F56">
        <v>122508</v>
      </c>
      <c r="G56" t="s">
        <v>27</v>
      </c>
      <c r="H56" t="s">
        <v>892</v>
      </c>
    </row>
    <row r="57" spans="1:8" x14ac:dyDescent="0.25">
      <c r="A57">
        <v>520</v>
      </c>
      <c r="B57">
        <v>339</v>
      </c>
      <c r="C57" t="s">
        <v>22</v>
      </c>
      <c r="D57" t="s">
        <v>367</v>
      </c>
      <c r="E57" t="s">
        <v>431</v>
      </c>
      <c r="F57">
        <v>132103</v>
      </c>
      <c r="G57" t="s">
        <v>30</v>
      </c>
      <c r="H57" t="s">
        <v>893</v>
      </c>
    </row>
    <row r="58" spans="1:8" x14ac:dyDescent="0.25">
      <c r="A58">
        <v>548</v>
      </c>
      <c r="B58">
        <v>458</v>
      </c>
      <c r="C58" t="s">
        <v>22</v>
      </c>
      <c r="D58" t="s">
        <v>453</v>
      </c>
      <c r="E58" t="s">
        <v>462</v>
      </c>
      <c r="F58">
        <v>125104</v>
      </c>
      <c r="G58" t="s">
        <v>27</v>
      </c>
      <c r="H58" t="s">
        <v>894</v>
      </c>
    </row>
    <row r="59" spans="1:8" x14ac:dyDescent="0.25">
      <c r="A59">
        <v>501</v>
      </c>
      <c r="B59">
        <v>389</v>
      </c>
      <c r="C59" t="s">
        <v>22</v>
      </c>
      <c r="D59" t="s">
        <v>367</v>
      </c>
      <c r="E59" t="s">
        <v>413</v>
      </c>
      <c r="F59">
        <v>132103</v>
      </c>
      <c r="G59" t="s">
        <v>30</v>
      </c>
      <c r="H59" t="s">
        <v>895</v>
      </c>
    </row>
    <row r="60" spans="1:8" x14ac:dyDescent="0.25">
      <c r="A60">
        <v>529</v>
      </c>
      <c r="B60">
        <v>313</v>
      </c>
      <c r="C60" t="s">
        <v>22</v>
      </c>
      <c r="D60" t="s">
        <v>367</v>
      </c>
      <c r="E60" t="s">
        <v>438</v>
      </c>
      <c r="F60">
        <v>132101</v>
      </c>
      <c r="G60" t="s">
        <v>77</v>
      </c>
      <c r="H60" t="s">
        <v>896</v>
      </c>
    </row>
    <row r="61" spans="1:8" x14ac:dyDescent="0.25">
      <c r="A61">
        <v>179</v>
      </c>
      <c r="B61">
        <v>424</v>
      </c>
      <c r="C61">
        <v>13</v>
      </c>
      <c r="D61" s="2" t="s">
        <v>142</v>
      </c>
      <c r="E61" t="s">
        <v>145</v>
      </c>
      <c r="F61">
        <v>133103</v>
      </c>
      <c r="G61" t="s">
        <v>24</v>
      </c>
      <c r="H61" t="s">
        <v>883</v>
      </c>
    </row>
    <row r="62" spans="1:8" x14ac:dyDescent="0.25">
      <c r="A62">
        <v>897</v>
      </c>
      <c r="B62">
        <v>828</v>
      </c>
      <c r="C62" t="s">
        <v>22</v>
      </c>
      <c r="D62" t="s">
        <v>23</v>
      </c>
      <c r="E62" t="s">
        <v>740</v>
      </c>
      <c r="F62">
        <v>133001</v>
      </c>
      <c r="G62" t="s">
        <v>30</v>
      </c>
      <c r="H62" t="s">
        <v>897</v>
      </c>
    </row>
    <row r="63" spans="1:8" x14ac:dyDescent="0.25">
      <c r="A63">
        <v>503</v>
      </c>
      <c r="B63">
        <v>286</v>
      </c>
      <c r="C63" t="s">
        <v>22</v>
      </c>
      <c r="D63" t="s">
        <v>367</v>
      </c>
      <c r="E63" t="s">
        <v>415</v>
      </c>
      <c r="F63">
        <v>132103</v>
      </c>
      <c r="G63" t="s">
        <v>30</v>
      </c>
      <c r="H63" t="s">
        <v>898</v>
      </c>
    </row>
    <row r="64" spans="1:8" x14ac:dyDescent="0.25">
      <c r="A64">
        <v>517</v>
      </c>
      <c r="B64">
        <v>372</v>
      </c>
      <c r="C64" t="s">
        <v>22</v>
      </c>
      <c r="D64" t="s">
        <v>367</v>
      </c>
      <c r="E64" t="s">
        <v>428</v>
      </c>
      <c r="F64">
        <v>132103</v>
      </c>
      <c r="G64" t="s">
        <v>30</v>
      </c>
      <c r="H64" t="s">
        <v>899</v>
      </c>
    </row>
    <row r="65" spans="1:8" x14ac:dyDescent="0.25">
      <c r="A65">
        <v>295</v>
      </c>
      <c r="B65">
        <v>323</v>
      </c>
      <c r="C65" t="s">
        <v>22</v>
      </c>
      <c r="D65" t="s">
        <v>254</v>
      </c>
      <c r="E65" t="s">
        <v>268</v>
      </c>
      <c r="F65">
        <v>132037</v>
      </c>
      <c r="G65" t="s">
        <v>27</v>
      </c>
      <c r="H65" t="s">
        <v>900</v>
      </c>
    </row>
    <row r="66" spans="1:8" x14ac:dyDescent="0.25">
      <c r="A66">
        <v>544</v>
      </c>
      <c r="B66">
        <v>465</v>
      </c>
      <c r="C66" t="s">
        <v>22</v>
      </c>
      <c r="D66" t="s">
        <v>453</v>
      </c>
      <c r="E66" t="s">
        <v>458</v>
      </c>
      <c r="F66">
        <v>125078</v>
      </c>
      <c r="G66" t="s">
        <v>24</v>
      </c>
      <c r="H66" t="s">
        <v>858</v>
      </c>
    </row>
    <row r="67" spans="1:8" x14ac:dyDescent="0.25">
      <c r="A67">
        <v>685</v>
      </c>
      <c r="B67">
        <v>530</v>
      </c>
      <c r="C67" t="s">
        <v>22</v>
      </c>
      <c r="D67" t="s">
        <v>508</v>
      </c>
      <c r="E67" t="s">
        <v>566</v>
      </c>
      <c r="F67">
        <v>121002</v>
      </c>
      <c r="G67" t="s">
        <v>24</v>
      </c>
      <c r="H67" t="s">
        <v>901</v>
      </c>
    </row>
    <row r="68" spans="1:8" x14ac:dyDescent="0.25">
      <c r="A68">
        <v>343</v>
      </c>
      <c r="B68">
        <v>322</v>
      </c>
      <c r="C68" t="s">
        <v>22</v>
      </c>
      <c r="D68" t="s">
        <v>254</v>
      </c>
      <c r="E68" t="s">
        <v>292</v>
      </c>
      <c r="F68">
        <v>132001</v>
      </c>
      <c r="G68" t="s">
        <v>30</v>
      </c>
      <c r="H68" t="s">
        <v>902</v>
      </c>
    </row>
    <row r="69" spans="1:8" x14ac:dyDescent="0.25">
      <c r="A69">
        <v>695</v>
      </c>
      <c r="B69">
        <v>439</v>
      </c>
      <c r="C69" t="s">
        <v>22</v>
      </c>
      <c r="D69" t="s">
        <v>508</v>
      </c>
      <c r="E69" t="s">
        <v>577</v>
      </c>
      <c r="F69">
        <v>121004</v>
      </c>
      <c r="G69" t="s">
        <v>27</v>
      </c>
      <c r="H69" t="s">
        <v>903</v>
      </c>
    </row>
    <row r="70" spans="1:8" x14ac:dyDescent="0.25">
      <c r="A70">
        <v>351</v>
      </c>
      <c r="B70">
        <v>326</v>
      </c>
      <c r="C70" t="s">
        <v>22</v>
      </c>
      <c r="D70" t="s">
        <v>254</v>
      </c>
      <c r="E70" t="s">
        <v>297</v>
      </c>
      <c r="F70">
        <v>132117</v>
      </c>
      <c r="G70" t="s">
        <v>77</v>
      </c>
      <c r="H70" t="s">
        <v>904</v>
      </c>
    </row>
    <row r="71" spans="1:8" x14ac:dyDescent="0.25">
      <c r="A71">
        <v>522</v>
      </c>
      <c r="B71">
        <v>367</v>
      </c>
      <c r="C71" t="s">
        <v>22</v>
      </c>
      <c r="D71" t="s">
        <v>367</v>
      </c>
      <c r="E71" t="s">
        <v>433</v>
      </c>
      <c r="F71">
        <v>132103</v>
      </c>
      <c r="G71" t="s">
        <v>30</v>
      </c>
      <c r="H71" t="s">
        <v>905</v>
      </c>
    </row>
    <row r="72" spans="1:8" x14ac:dyDescent="0.25">
      <c r="A72">
        <v>686</v>
      </c>
      <c r="B72">
        <v>401</v>
      </c>
      <c r="C72" t="s">
        <v>22</v>
      </c>
      <c r="D72" t="s">
        <v>508</v>
      </c>
      <c r="E72" t="s">
        <v>567</v>
      </c>
      <c r="F72">
        <v>121002</v>
      </c>
      <c r="G72" t="s">
        <v>24</v>
      </c>
      <c r="H72" t="s">
        <v>906</v>
      </c>
    </row>
    <row r="73" spans="1:8" x14ac:dyDescent="0.25">
      <c r="A73">
        <v>710</v>
      </c>
      <c r="B73">
        <v>440</v>
      </c>
      <c r="C73" t="s">
        <v>22</v>
      </c>
      <c r="D73" t="s">
        <v>508</v>
      </c>
      <c r="E73" t="s">
        <v>592</v>
      </c>
      <c r="F73">
        <v>121002</v>
      </c>
      <c r="G73" t="s">
        <v>30</v>
      </c>
      <c r="H73" t="s">
        <v>907</v>
      </c>
    </row>
    <row r="74" spans="1:8" x14ac:dyDescent="0.25">
      <c r="A74">
        <v>1000</v>
      </c>
      <c r="B74">
        <v>1119</v>
      </c>
      <c r="C74" t="s">
        <v>22</v>
      </c>
      <c r="D74" t="s">
        <v>32</v>
      </c>
      <c r="E74" t="s">
        <v>33</v>
      </c>
      <c r="F74">
        <v>125120</v>
      </c>
      <c r="G74" t="s">
        <v>30</v>
      </c>
      <c r="H74" t="s">
        <v>876</v>
      </c>
    </row>
    <row r="75" spans="1:8" x14ac:dyDescent="0.25">
      <c r="A75">
        <v>511</v>
      </c>
      <c r="B75">
        <v>327</v>
      </c>
      <c r="C75" t="s">
        <v>22</v>
      </c>
      <c r="D75" t="s">
        <v>367</v>
      </c>
      <c r="E75" t="s">
        <v>424</v>
      </c>
      <c r="F75">
        <v>132103</v>
      </c>
      <c r="G75" t="s">
        <v>30</v>
      </c>
      <c r="H75" t="s">
        <v>908</v>
      </c>
    </row>
    <row r="76" spans="1:8" x14ac:dyDescent="0.25">
      <c r="A76">
        <v>880</v>
      </c>
      <c r="B76">
        <v>785</v>
      </c>
      <c r="C76" t="s">
        <v>22</v>
      </c>
      <c r="D76" t="s">
        <v>23</v>
      </c>
      <c r="E76" t="s">
        <v>725</v>
      </c>
      <c r="F76">
        <v>600038</v>
      </c>
      <c r="G76" t="s">
        <v>30</v>
      </c>
      <c r="H76" t="s">
        <v>909</v>
      </c>
    </row>
    <row r="77" spans="1:8" x14ac:dyDescent="0.25">
      <c r="A77">
        <v>512</v>
      </c>
      <c r="B77">
        <v>336</v>
      </c>
      <c r="C77" t="s">
        <v>22</v>
      </c>
      <c r="D77" t="s">
        <v>367</v>
      </c>
      <c r="E77" t="s">
        <v>425</v>
      </c>
      <c r="F77">
        <v>132103</v>
      </c>
      <c r="G77" t="s">
        <v>30</v>
      </c>
      <c r="H77" t="s">
        <v>883</v>
      </c>
    </row>
    <row r="78" spans="1:8" x14ac:dyDescent="0.25">
      <c r="A78">
        <v>563</v>
      </c>
      <c r="B78">
        <v>460</v>
      </c>
      <c r="C78" t="s">
        <v>22</v>
      </c>
      <c r="D78" t="s">
        <v>453</v>
      </c>
      <c r="E78" t="s">
        <v>477</v>
      </c>
      <c r="F78">
        <v>125110</v>
      </c>
      <c r="G78" t="s">
        <v>27</v>
      </c>
      <c r="H78" t="s">
        <v>910</v>
      </c>
    </row>
    <row r="79" spans="1:8" x14ac:dyDescent="0.25">
      <c r="A79">
        <v>491</v>
      </c>
      <c r="B79">
        <v>373</v>
      </c>
      <c r="C79" t="s">
        <v>22</v>
      </c>
      <c r="D79" t="s">
        <v>367</v>
      </c>
      <c r="E79" t="s">
        <v>402</v>
      </c>
      <c r="F79">
        <v>132103</v>
      </c>
      <c r="G79" t="s">
        <v>30</v>
      </c>
      <c r="H79" t="s">
        <v>911</v>
      </c>
    </row>
    <row r="80" spans="1:8" x14ac:dyDescent="0.25">
      <c r="A80">
        <v>709</v>
      </c>
      <c r="B80">
        <v>452</v>
      </c>
      <c r="C80" t="s">
        <v>22</v>
      </c>
      <c r="D80" t="s">
        <v>508</v>
      </c>
      <c r="E80" t="s">
        <v>591</v>
      </c>
      <c r="F80">
        <v>121004</v>
      </c>
      <c r="G80" t="s">
        <v>30</v>
      </c>
      <c r="H80" t="s">
        <v>912</v>
      </c>
    </row>
    <row r="81" spans="1:8" x14ac:dyDescent="0.25">
      <c r="A81">
        <v>216</v>
      </c>
      <c r="B81">
        <v>411</v>
      </c>
      <c r="C81" t="s">
        <v>22</v>
      </c>
      <c r="D81" t="s">
        <v>166</v>
      </c>
      <c r="E81" t="s">
        <v>187</v>
      </c>
      <c r="F81">
        <v>124109</v>
      </c>
      <c r="G81" t="s">
        <v>30</v>
      </c>
      <c r="H81" t="s">
        <v>883</v>
      </c>
    </row>
    <row r="82" spans="1:8" x14ac:dyDescent="0.25">
      <c r="A82">
        <v>715</v>
      </c>
      <c r="B82">
        <v>496</v>
      </c>
      <c r="C82" t="s">
        <v>22</v>
      </c>
      <c r="D82" t="s">
        <v>508</v>
      </c>
      <c r="E82" t="s">
        <v>597</v>
      </c>
      <c r="F82">
        <v>121004</v>
      </c>
      <c r="G82" t="s">
        <v>77</v>
      </c>
      <c r="H82" t="s">
        <v>913</v>
      </c>
    </row>
    <row r="83" spans="1:8" x14ac:dyDescent="0.25">
      <c r="A83">
        <v>706</v>
      </c>
      <c r="B83">
        <v>435</v>
      </c>
      <c r="C83" t="s">
        <v>22</v>
      </c>
      <c r="D83" t="s">
        <v>508</v>
      </c>
      <c r="E83" t="s">
        <v>589</v>
      </c>
      <c r="F83">
        <v>121001</v>
      </c>
      <c r="G83" t="s">
        <v>30</v>
      </c>
      <c r="H83" t="s">
        <v>914</v>
      </c>
    </row>
    <row r="84" spans="1:8" x14ac:dyDescent="0.25">
      <c r="A84">
        <v>591</v>
      </c>
      <c r="B84">
        <v>567</v>
      </c>
      <c r="C84" t="s">
        <v>22</v>
      </c>
      <c r="D84" t="s">
        <v>140</v>
      </c>
      <c r="E84" t="s">
        <v>498</v>
      </c>
      <c r="F84">
        <v>135003</v>
      </c>
      <c r="G84" t="s">
        <v>30</v>
      </c>
      <c r="H84" t="s">
        <v>915</v>
      </c>
    </row>
    <row r="85" spans="1:8" x14ac:dyDescent="0.25">
      <c r="A85">
        <v>194</v>
      </c>
      <c r="B85">
        <v>380</v>
      </c>
      <c r="C85" t="s">
        <v>22</v>
      </c>
      <c r="D85" t="s">
        <v>140</v>
      </c>
      <c r="E85" t="s">
        <v>162</v>
      </c>
      <c r="F85">
        <v>135003</v>
      </c>
      <c r="G85" t="s">
        <v>27</v>
      </c>
      <c r="H85" t="s">
        <v>848</v>
      </c>
    </row>
    <row r="86" spans="1:8" x14ac:dyDescent="0.25">
      <c r="A86">
        <v>355</v>
      </c>
      <c r="B86">
        <v>392</v>
      </c>
      <c r="C86" t="s">
        <v>22</v>
      </c>
      <c r="D86" t="s">
        <v>298</v>
      </c>
      <c r="E86" t="s">
        <v>303</v>
      </c>
      <c r="F86">
        <v>136132</v>
      </c>
      <c r="G86" t="s">
        <v>24</v>
      </c>
      <c r="H86" t="s">
        <v>861</v>
      </c>
    </row>
    <row r="87" spans="1:8" x14ac:dyDescent="0.25">
      <c r="A87">
        <v>523</v>
      </c>
      <c r="B87">
        <v>365</v>
      </c>
      <c r="C87" t="s">
        <v>22</v>
      </c>
      <c r="D87" t="s">
        <v>367</v>
      </c>
      <c r="E87" t="s">
        <v>434</v>
      </c>
      <c r="F87">
        <v>132103</v>
      </c>
      <c r="G87" t="s">
        <v>30</v>
      </c>
      <c r="H87" t="s">
        <v>916</v>
      </c>
    </row>
    <row r="88" spans="1:8" x14ac:dyDescent="0.25">
      <c r="A88">
        <v>487</v>
      </c>
      <c r="B88">
        <v>319</v>
      </c>
      <c r="C88" t="s">
        <v>22</v>
      </c>
      <c r="D88" t="s">
        <v>367</v>
      </c>
      <c r="E88" t="s">
        <v>398</v>
      </c>
      <c r="F88">
        <v>132103</v>
      </c>
      <c r="G88" t="s">
        <v>30</v>
      </c>
      <c r="H88" t="s">
        <v>917</v>
      </c>
    </row>
    <row r="89" spans="1:8" x14ac:dyDescent="0.25">
      <c r="A89">
        <v>495</v>
      </c>
      <c r="B89">
        <v>447</v>
      </c>
      <c r="C89" t="s">
        <v>22</v>
      </c>
      <c r="D89" t="s">
        <v>367</v>
      </c>
      <c r="E89" t="s">
        <v>406</v>
      </c>
      <c r="F89">
        <v>132103</v>
      </c>
      <c r="G89" t="s">
        <v>30</v>
      </c>
      <c r="H89" t="s">
        <v>918</v>
      </c>
    </row>
    <row r="90" spans="1:8" x14ac:dyDescent="0.25">
      <c r="A90">
        <v>919</v>
      </c>
      <c r="B90">
        <v>1044</v>
      </c>
      <c r="C90" t="s">
        <v>22</v>
      </c>
      <c r="D90" t="s">
        <v>440</v>
      </c>
      <c r="E90" t="s">
        <v>760</v>
      </c>
      <c r="F90">
        <v>123403</v>
      </c>
      <c r="G90" t="s">
        <v>30</v>
      </c>
      <c r="H90" t="s">
        <v>919</v>
      </c>
    </row>
    <row r="91" spans="1:8" x14ac:dyDescent="0.25">
      <c r="A91">
        <v>508</v>
      </c>
      <c r="B91">
        <v>337</v>
      </c>
      <c r="C91" t="s">
        <v>22</v>
      </c>
      <c r="D91" t="s">
        <v>367</v>
      </c>
      <c r="E91" t="s">
        <v>420</v>
      </c>
      <c r="F91">
        <v>132103</v>
      </c>
      <c r="G91" t="s">
        <v>30</v>
      </c>
      <c r="H91" t="s">
        <v>841</v>
      </c>
    </row>
    <row r="92" spans="1:8" x14ac:dyDescent="0.25">
      <c r="A92">
        <v>53</v>
      </c>
      <c r="B92">
        <v>854</v>
      </c>
      <c r="C92" t="s">
        <v>22</v>
      </c>
      <c r="D92" t="s">
        <v>328</v>
      </c>
      <c r="E92" t="s">
        <v>439</v>
      </c>
      <c r="G92" t="s">
        <v>30</v>
      </c>
      <c r="H92" t="s">
        <v>920</v>
      </c>
    </row>
    <row r="93" spans="1:8" x14ac:dyDescent="0.25">
      <c r="A93">
        <v>386</v>
      </c>
      <c r="B93">
        <v>808</v>
      </c>
      <c r="C93">
        <v>13</v>
      </c>
      <c r="D93" s="2" t="s">
        <v>300</v>
      </c>
      <c r="E93" t="s">
        <v>324</v>
      </c>
      <c r="F93">
        <v>136135</v>
      </c>
      <c r="G93" t="s">
        <v>77</v>
      </c>
      <c r="H93" t="s">
        <v>921</v>
      </c>
    </row>
    <row r="94" spans="1:8" x14ac:dyDescent="0.25">
      <c r="A94">
        <v>197</v>
      </c>
      <c r="B94">
        <v>404</v>
      </c>
      <c r="C94" t="s">
        <v>22</v>
      </c>
      <c r="D94" t="s">
        <v>140</v>
      </c>
      <c r="E94" t="s">
        <v>165</v>
      </c>
      <c r="F94">
        <v>135133</v>
      </c>
      <c r="G94" t="s">
        <v>77</v>
      </c>
      <c r="H94" t="s">
        <v>922</v>
      </c>
    </row>
    <row r="95" spans="1:8" x14ac:dyDescent="0.25">
      <c r="A95">
        <v>190</v>
      </c>
      <c r="B95">
        <v>434</v>
      </c>
      <c r="C95" t="s">
        <v>22</v>
      </c>
      <c r="D95" t="s">
        <v>140</v>
      </c>
      <c r="E95" t="s">
        <v>158</v>
      </c>
      <c r="F95">
        <v>135101</v>
      </c>
      <c r="G95" t="s">
        <v>27</v>
      </c>
      <c r="H95" t="s">
        <v>923</v>
      </c>
    </row>
    <row r="96" spans="1:8" x14ac:dyDescent="0.25">
      <c r="A96">
        <v>533</v>
      </c>
      <c r="B96">
        <v>751</v>
      </c>
      <c r="C96" t="s">
        <v>22</v>
      </c>
      <c r="D96" t="s">
        <v>440</v>
      </c>
      <c r="E96" t="s">
        <v>444</v>
      </c>
      <c r="F96">
        <v>123303</v>
      </c>
      <c r="G96" t="s">
        <v>24</v>
      </c>
      <c r="H96" t="s">
        <v>924</v>
      </c>
    </row>
    <row r="97" spans="1:8" x14ac:dyDescent="0.25">
      <c r="A97">
        <v>181</v>
      </c>
      <c r="B97">
        <v>349</v>
      </c>
      <c r="C97" t="s">
        <v>22</v>
      </c>
      <c r="D97" t="s">
        <v>140</v>
      </c>
      <c r="E97" t="s">
        <v>148</v>
      </c>
      <c r="F97">
        <v>135021</v>
      </c>
      <c r="G97" t="s">
        <v>24</v>
      </c>
      <c r="H97" t="s">
        <v>925</v>
      </c>
    </row>
    <row r="98" spans="1:8" x14ac:dyDescent="0.25">
      <c r="A98">
        <v>433</v>
      </c>
      <c r="B98">
        <v>621</v>
      </c>
      <c r="C98" t="s">
        <v>22</v>
      </c>
      <c r="D98" t="s">
        <v>333</v>
      </c>
      <c r="E98" t="s">
        <v>356</v>
      </c>
      <c r="F98">
        <v>122508</v>
      </c>
      <c r="G98" t="s">
        <v>27</v>
      </c>
      <c r="H98" t="s">
        <v>883</v>
      </c>
    </row>
    <row r="99" spans="1:8" x14ac:dyDescent="0.25">
      <c r="A99">
        <v>713</v>
      </c>
      <c r="B99">
        <v>433</v>
      </c>
      <c r="C99" t="s">
        <v>22</v>
      </c>
      <c r="D99" t="s">
        <v>508</v>
      </c>
      <c r="E99" t="s">
        <v>595</v>
      </c>
      <c r="F99">
        <v>121006</v>
      </c>
      <c r="G99" t="s">
        <v>30</v>
      </c>
      <c r="H99" t="s">
        <v>926</v>
      </c>
    </row>
    <row r="100" spans="1:8" x14ac:dyDescent="0.25">
      <c r="A100">
        <v>875</v>
      </c>
      <c r="B100">
        <v>678</v>
      </c>
      <c r="C100" t="s">
        <v>22</v>
      </c>
      <c r="D100" t="s">
        <v>239</v>
      </c>
      <c r="E100" t="s">
        <v>722</v>
      </c>
      <c r="F100">
        <v>136027</v>
      </c>
      <c r="G100" t="s">
        <v>30</v>
      </c>
      <c r="H100" t="s">
        <v>927</v>
      </c>
    </row>
    <row r="101" spans="1:8" x14ac:dyDescent="0.25">
      <c r="A101">
        <v>177</v>
      </c>
      <c r="B101">
        <v>314</v>
      </c>
      <c r="C101" t="s">
        <v>22</v>
      </c>
      <c r="D101" t="s">
        <v>140</v>
      </c>
      <c r="E101" t="s">
        <v>143</v>
      </c>
      <c r="F101">
        <v>135102</v>
      </c>
      <c r="G101" t="s">
        <v>24</v>
      </c>
      <c r="H101" t="s">
        <v>928</v>
      </c>
    </row>
    <row r="102" spans="1:8" x14ac:dyDescent="0.25">
      <c r="A102">
        <v>529</v>
      </c>
      <c r="B102">
        <v>782</v>
      </c>
      <c r="C102" t="s">
        <v>22</v>
      </c>
      <c r="D102" t="s">
        <v>367</v>
      </c>
      <c r="E102" t="s">
        <v>438</v>
      </c>
      <c r="F102">
        <v>132101</v>
      </c>
      <c r="G102" t="s">
        <v>77</v>
      </c>
      <c r="H102" t="s">
        <v>841</v>
      </c>
    </row>
    <row r="103" spans="1:8" x14ac:dyDescent="0.25">
      <c r="A103">
        <v>422</v>
      </c>
      <c r="B103">
        <v>1019</v>
      </c>
      <c r="C103" t="s">
        <v>22</v>
      </c>
      <c r="D103" t="s">
        <v>333</v>
      </c>
      <c r="E103" t="s">
        <v>344</v>
      </c>
      <c r="F103">
        <v>122108</v>
      </c>
      <c r="G103" t="s">
        <v>27</v>
      </c>
      <c r="H103" t="s">
        <v>929</v>
      </c>
    </row>
    <row r="104" spans="1:8" x14ac:dyDescent="0.25">
      <c r="A104">
        <v>692</v>
      </c>
      <c r="B104">
        <v>443</v>
      </c>
      <c r="C104" t="s">
        <v>22</v>
      </c>
      <c r="D104" t="s">
        <v>508</v>
      </c>
      <c r="E104" t="s">
        <v>574</v>
      </c>
      <c r="F104">
        <v>121004</v>
      </c>
      <c r="G104" t="s">
        <v>27</v>
      </c>
      <c r="H104" t="s">
        <v>930</v>
      </c>
    </row>
    <row r="105" spans="1:8" x14ac:dyDescent="0.25">
      <c r="A105">
        <v>286</v>
      </c>
      <c r="B105">
        <v>291</v>
      </c>
      <c r="C105" t="s">
        <v>22</v>
      </c>
      <c r="D105" t="s">
        <v>254</v>
      </c>
      <c r="E105" t="s">
        <v>262</v>
      </c>
      <c r="F105">
        <v>132040</v>
      </c>
      <c r="G105" t="s">
        <v>24</v>
      </c>
      <c r="H105" t="s">
        <v>931</v>
      </c>
    </row>
    <row r="106" spans="1:8" x14ac:dyDescent="0.25">
      <c r="A106">
        <v>521</v>
      </c>
      <c r="B106">
        <v>368</v>
      </c>
      <c r="C106" t="s">
        <v>22</v>
      </c>
      <c r="D106" t="s">
        <v>367</v>
      </c>
      <c r="E106" t="s">
        <v>432</v>
      </c>
      <c r="F106">
        <v>132103</v>
      </c>
      <c r="G106" t="s">
        <v>30</v>
      </c>
      <c r="H106" t="s">
        <v>932</v>
      </c>
    </row>
    <row r="107" spans="1:8" x14ac:dyDescent="0.25">
      <c r="A107">
        <v>103</v>
      </c>
      <c r="B107">
        <v>868</v>
      </c>
      <c r="C107" t="s">
        <v>22</v>
      </c>
      <c r="D107" t="s">
        <v>42</v>
      </c>
      <c r="E107" t="s">
        <v>54</v>
      </c>
      <c r="F107">
        <v>125033</v>
      </c>
      <c r="G107" t="s">
        <v>24</v>
      </c>
      <c r="H107" t="s">
        <v>858</v>
      </c>
    </row>
    <row r="108" spans="1:8" x14ac:dyDescent="0.25">
      <c r="A108">
        <v>551</v>
      </c>
      <c r="B108">
        <v>464</v>
      </c>
      <c r="C108" t="s">
        <v>22</v>
      </c>
      <c r="D108" t="s">
        <v>453</v>
      </c>
      <c r="E108" t="s">
        <v>465</v>
      </c>
      <c r="F108">
        <v>125076</v>
      </c>
      <c r="G108" t="s">
        <v>27</v>
      </c>
      <c r="H108" t="s">
        <v>933</v>
      </c>
    </row>
    <row r="109" spans="1:8" x14ac:dyDescent="0.25">
      <c r="A109">
        <v>518</v>
      </c>
      <c r="B109">
        <v>342</v>
      </c>
      <c r="C109" t="s">
        <v>22</v>
      </c>
      <c r="D109" t="s">
        <v>367</v>
      </c>
      <c r="E109" t="s">
        <v>429</v>
      </c>
      <c r="F109">
        <v>132103</v>
      </c>
      <c r="G109" t="s">
        <v>30</v>
      </c>
      <c r="H109" t="s">
        <v>893</v>
      </c>
    </row>
    <row r="110" spans="1:8" x14ac:dyDescent="0.25">
      <c r="A110">
        <v>596</v>
      </c>
      <c r="B110">
        <v>518</v>
      </c>
      <c r="C110" t="s">
        <v>22</v>
      </c>
      <c r="D110" t="s">
        <v>140</v>
      </c>
      <c r="E110" t="s">
        <v>503</v>
      </c>
      <c r="F110">
        <v>135001</v>
      </c>
      <c r="G110" t="s">
        <v>30</v>
      </c>
      <c r="H110" t="s">
        <v>934</v>
      </c>
    </row>
    <row r="111" spans="1:8" x14ac:dyDescent="0.25">
      <c r="A111">
        <v>219</v>
      </c>
      <c r="B111">
        <v>441</v>
      </c>
      <c r="C111" t="s">
        <v>22</v>
      </c>
      <c r="D111" t="s">
        <v>166</v>
      </c>
      <c r="E111" t="s">
        <v>190</v>
      </c>
      <c r="F111">
        <v>124103</v>
      </c>
      <c r="G111" t="s">
        <v>30</v>
      </c>
      <c r="H111" t="s">
        <v>935</v>
      </c>
    </row>
    <row r="112" spans="1:8" x14ac:dyDescent="0.25">
      <c r="A112">
        <v>708</v>
      </c>
      <c r="B112">
        <v>471</v>
      </c>
      <c r="C112" t="s">
        <v>22</v>
      </c>
      <c r="D112" t="s">
        <v>508</v>
      </c>
      <c r="E112" t="s">
        <v>590</v>
      </c>
      <c r="F112">
        <v>121002</v>
      </c>
      <c r="G112" t="s">
        <v>30</v>
      </c>
      <c r="H112" t="s">
        <v>936</v>
      </c>
    </row>
    <row r="113" spans="1:8" x14ac:dyDescent="0.25">
      <c r="A113">
        <v>704</v>
      </c>
      <c r="B113">
        <v>494</v>
      </c>
      <c r="C113" t="s">
        <v>22</v>
      </c>
      <c r="D113" t="s">
        <v>508</v>
      </c>
      <c r="E113" t="s">
        <v>587</v>
      </c>
      <c r="F113">
        <v>121004</v>
      </c>
      <c r="G113" t="s">
        <v>30</v>
      </c>
      <c r="H113" t="s">
        <v>937</v>
      </c>
    </row>
    <row r="114" spans="1:8" x14ac:dyDescent="0.25">
      <c r="A114">
        <v>823</v>
      </c>
      <c r="B114">
        <v>640</v>
      </c>
      <c r="C114" t="s">
        <v>22</v>
      </c>
      <c r="D114" t="s">
        <v>453</v>
      </c>
      <c r="E114" t="s">
        <v>679</v>
      </c>
      <c r="F114">
        <v>125055</v>
      </c>
      <c r="G114" t="s">
        <v>30</v>
      </c>
      <c r="H114" t="s">
        <v>938</v>
      </c>
    </row>
    <row r="115" spans="1:8" x14ac:dyDescent="0.25">
      <c r="A115">
        <v>572</v>
      </c>
      <c r="B115">
        <v>420</v>
      </c>
      <c r="C115" t="s">
        <v>22</v>
      </c>
      <c r="D115" t="s">
        <v>453</v>
      </c>
      <c r="E115" t="s">
        <v>487</v>
      </c>
      <c r="F115">
        <v>125102</v>
      </c>
      <c r="G115" t="s">
        <v>77</v>
      </c>
      <c r="H115" t="s">
        <v>939</v>
      </c>
    </row>
    <row r="116" spans="1:8" x14ac:dyDescent="0.25">
      <c r="A116">
        <v>525</v>
      </c>
      <c r="B116">
        <v>341</v>
      </c>
      <c r="C116" t="s">
        <v>22</v>
      </c>
      <c r="D116" t="s">
        <v>367</v>
      </c>
      <c r="E116" t="s">
        <v>436</v>
      </c>
      <c r="F116">
        <v>132103</v>
      </c>
      <c r="G116" t="s">
        <v>30</v>
      </c>
      <c r="H116" t="s">
        <v>893</v>
      </c>
    </row>
    <row r="117" spans="1:8" x14ac:dyDescent="0.25">
      <c r="A117">
        <v>193</v>
      </c>
      <c r="B117">
        <v>450</v>
      </c>
      <c r="C117" t="s">
        <v>22</v>
      </c>
      <c r="D117" t="s">
        <v>140</v>
      </c>
      <c r="E117" t="s">
        <v>161</v>
      </c>
      <c r="F117">
        <v>133204</v>
      </c>
      <c r="G117" t="s">
        <v>27</v>
      </c>
      <c r="H117" t="s">
        <v>858</v>
      </c>
    </row>
    <row r="118" spans="1:8" x14ac:dyDescent="0.25">
      <c r="A118">
        <v>320</v>
      </c>
      <c r="B118">
        <v>362</v>
      </c>
      <c r="C118" t="s">
        <v>22</v>
      </c>
      <c r="D118" t="s">
        <v>254</v>
      </c>
      <c r="E118" t="s">
        <v>283</v>
      </c>
      <c r="F118">
        <v>132001</v>
      </c>
      <c r="G118" t="s">
        <v>30</v>
      </c>
      <c r="H118" t="s">
        <v>940</v>
      </c>
    </row>
    <row r="119" spans="1:8" x14ac:dyDescent="0.25">
      <c r="A119">
        <v>284</v>
      </c>
      <c r="B119">
        <v>355</v>
      </c>
      <c r="C119" t="s">
        <v>22</v>
      </c>
      <c r="D119" t="s">
        <v>254</v>
      </c>
      <c r="E119" t="s">
        <v>260</v>
      </c>
      <c r="F119">
        <v>132157</v>
      </c>
      <c r="G119" t="s">
        <v>24</v>
      </c>
      <c r="H119" t="s">
        <v>941</v>
      </c>
    </row>
    <row r="120" spans="1:8" x14ac:dyDescent="0.25">
      <c r="A120">
        <v>711</v>
      </c>
      <c r="B120">
        <v>374</v>
      </c>
      <c r="C120" t="s">
        <v>22</v>
      </c>
      <c r="D120" t="s">
        <v>508</v>
      </c>
      <c r="E120" t="s">
        <v>593</v>
      </c>
      <c r="F120">
        <v>121002</v>
      </c>
      <c r="G120" t="s">
        <v>30</v>
      </c>
      <c r="H120" t="s">
        <v>942</v>
      </c>
    </row>
    <row r="121" spans="1:8" x14ac:dyDescent="0.25">
      <c r="A121">
        <v>462</v>
      </c>
      <c r="B121">
        <v>350</v>
      </c>
      <c r="C121" t="s">
        <v>22</v>
      </c>
      <c r="D121" t="s">
        <v>367</v>
      </c>
      <c r="E121" t="s">
        <v>374</v>
      </c>
      <c r="F121">
        <v>132103</v>
      </c>
      <c r="G121" t="s">
        <v>24</v>
      </c>
      <c r="H121" t="s">
        <v>943</v>
      </c>
    </row>
    <row r="122" spans="1:8" x14ac:dyDescent="0.25">
      <c r="A122">
        <v>458</v>
      </c>
      <c r="B122">
        <v>328</v>
      </c>
      <c r="C122" t="s">
        <v>22</v>
      </c>
      <c r="D122" t="s">
        <v>367</v>
      </c>
      <c r="E122" t="s">
        <v>370</v>
      </c>
      <c r="F122">
        <v>132107</v>
      </c>
      <c r="G122" t="s">
        <v>24</v>
      </c>
      <c r="H122" t="s">
        <v>944</v>
      </c>
    </row>
    <row r="123" spans="1:8" x14ac:dyDescent="0.25">
      <c r="A123">
        <v>463</v>
      </c>
      <c r="B123">
        <v>422</v>
      </c>
      <c r="C123">
        <v>13</v>
      </c>
      <c r="D123" s="2" t="s">
        <v>369</v>
      </c>
      <c r="E123" t="s">
        <v>375</v>
      </c>
      <c r="F123">
        <v>132113</v>
      </c>
      <c r="G123" t="s">
        <v>24</v>
      </c>
      <c r="H123" t="s">
        <v>945</v>
      </c>
    </row>
    <row r="124" spans="1:8" x14ac:dyDescent="0.25">
      <c r="A124">
        <v>772</v>
      </c>
      <c r="B124">
        <v>548</v>
      </c>
      <c r="C124" t="s">
        <v>22</v>
      </c>
      <c r="D124" t="s">
        <v>140</v>
      </c>
      <c r="E124" t="s">
        <v>635</v>
      </c>
      <c r="F124">
        <v>135003</v>
      </c>
      <c r="G124" t="s">
        <v>30</v>
      </c>
      <c r="H124" t="s">
        <v>946</v>
      </c>
    </row>
    <row r="125" spans="1:8" x14ac:dyDescent="0.25">
      <c r="A125">
        <v>184</v>
      </c>
      <c r="B125">
        <v>391</v>
      </c>
      <c r="C125" t="s">
        <v>22</v>
      </c>
      <c r="D125" t="s">
        <v>140</v>
      </c>
      <c r="E125" t="s">
        <v>151</v>
      </c>
      <c r="F125">
        <v>135103</v>
      </c>
      <c r="G125" t="s">
        <v>27</v>
      </c>
      <c r="H125" t="s">
        <v>848</v>
      </c>
    </row>
    <row r="126" spans="1:8" x14ac:dyDescent="0.25">
      <c r="A126">
        <v>368</v>
      </c>
      <c r="B126">
        <v>1075</v>
      </c>
      <c r="C126" t="s">
        <v>22</v>
      </c>
      <c r="D126" t="s">
        <v>298</v>
      </c>
      <c r="E126" t="s">
        <v>316</v>
      </c>
      <c r="F126">
        <v>136128</v>
      </c>
      <c r="G126" t="s">
        <v>27</v>
      </c>
      <c r="H126" t="s">
        <v>947</v>
      </c>
    </row>
    <row r="127" spans="1:8" x14ac:dyDescent="0.25">
      <c r="A127">
        <v>279</v>
      </c>
      <c r="B127">
        <v>377</v>
      </c>
      <c r="C127" t="s">
        <v>22</v>
      </c>
      <c r="D127" t="s">
        <v>239</v>
      </c>
      <c r="E127" t="s">
        <v>253</v>
      </c>
      <c r="F127">
        <v>136117</v>
      </c>
      <c r="G127" t="s">
        <v>77</v>
      </c>
      <c r="H127" t="s">
        <v>948</v>
      </c>
    </row>
    <row r="128" spans="1:8" x14ac:dyDescent="0.25">
      <c r="A128">
        <v>542</v>
      </c>
      <c r="B128">
        <v>418</v>
      </c>
      <c r="C128" t="s">
        <v>22</v>
      </c>
      <c r="D128" t="s">
        <v>453</v>
      </c>
      <c r="E128" t="s">
        <v>456</v>
      </c>
      <c r="F128">
        <v>125076</v>
      </c>
      <c r="G128" t="s">
        <v>24</v>
      </c>
      <c r="H128" t="s">
        <v>949</v>
      </c>
    </row>
    <row r="129" spans="1:8" x14ac:dyDescent="0.25">
      <c r="A129">
        <v>689</v>
      </c>
      <c r="B129">
        <v>506</v>
      </c>
      <c r="C129" t="s">
        <v>22</v>
      </c>
      <c r="D129" t="s">
        <v>508</v>
      </c>
      <c r="E129" t="s">
        <v>570</v>
      </c>
      <c r="F129">
        <v>121004</v>
      </c>
      <c r="G129" t="s">
        <v>27</v>
      </c>
      <c r="H129" t="s">
        <v>950</v>
      </c>
    </row>
    <row r="130" spans="1:8" x14ac:dyDescent="0.25">
      <c r="A130">
        <v>696</v>
      </c>
      <c r="B130">
        <v>528</v>
      </c>
      <c r="C130" t="s">
        <v>22</v>
      </c>
      <c r="D130" t="s">
        <v>508</v>
      </c>
      <c r="E130" t="s">
        <v>578</v>
      </c>
      <c r="F130">
        <v>121003</v>
      </c>
      <c r="G130" t="s">
        <v>27</v>
      </c>
      <c r="H130" t="s">
        <v>951</v>
      </c>
    </row>
    <row r="131" spans="1:8" x14ac:dyDescent="0.25">
      <c r="A131">
        <v>562</v>
      </c>
      <c r="B131">
        <v>474</v>
      </c>
      <c r="C131" t="s">
        <v>22</v>
      </c>
      <c r="D131" t="s">
        <v>453</v>
      </c>
      <c r="E131" t="s">
        <v>476</v>
      </c>
      <c r="F131">
        <v>125055</v>
      </c>
      <c r="G131" t="s">
        <v>27</v>
      </c>
      <c r="H131" t="s">
        <v>918</v>
      </c>
    </row>
    <row r="132" spans="1:8" x14ac:dyDescent="0.25">
      <c r="A132">
        <v>817</v>
      </c>
      <c r="B132">
        <v>652</v>
      </c>
      <c r="C132" t="s">
        <v>22</v>
      </c>
      <c r="D132" t="s">
        <v>453</v>
      </c>
      <c r="E132" t="s">
        <v>45</v>
      </c>
      <c r="F132">
        <v>125055</v>
      </c>
      <c r="G132" t="s">
        <v>30</v>
      </c>
      <c r="H132" t="s">
        <v>874</v>
      </c>
    </row>
    <row r="133" spans="1:8" x14ac:dyDescent="0.25">
      <c r="A133">
        <v>60</v>
      </c>
      <c r="B133">
        <v>503</v>
      </c>
      <c r="C133" t="s">
        <v>22</v>
      </c>
      <c r="D133" t="s">
        <v>508</v>
      </c>
      <c r="E133" t="s">
        <v>509</v>
      </c>
      <c r="F133">
        <v>121004</v>
      </c>
      <c r="G133" t="s">
        <v>30</v>
      </c>
      <c r="H133" t="s">
        <v>952</v>
      </c>
    </row>
    <row r="134" spans="1:8" x14ac:dyDescent="0.25">
      <c r="A134">
        <v>698</v>
      </c>
      <c r="B134">
        <v>507</v>
      </c>
      <c r="C134" t="s">
        <v>22</v>
      </c>
      <c r="D134" t="s">
        <v>508</v>
      </c>
      <c r="E134" t="s">
        <v>580</v>
      </c>
      <c r="F134">
        <v>121004</v>
      </c>
      <c r="G134" t="s">
        <v>30</v>
      </c>
      <c r="H134" t="s">
        <v>953</v>
      </c>
    </row>
    <row r="135" spans="1:8" x14ac:dyDescent="0.25">
      <c r="A135">
        <v>196</v>
      </c>
      <c r="B135">
        <v>427</v>
      </c>
      <c r="C135">
        <v>13</v>
      </c>
      <c r="D135" s="2" t="s">
        <v>142</v>
      </c>
      <c r="E135" t="s">
        <v>164</v>
      </c>
      <c r="F135">
        <v>135003</v>
      </c>
      <c r="G135" t="s">
        <v>77</v>
      </c>
      <c r="H135" t="s">
        <v>954</v>
      </c>
    </row>
    <row r="136" spans="1:8" x14ac:dyDescent="0.25">
      <c r="A136">
        <v>475</v>
      </c>
      <c r="B136">
        <v>500</v>
      </c>
      <c r="C136" t="s">
        <v>22</v>
      </c>
      <c r="D136" t="s">
        <v>367</v>
      </c>
      <c r="E136" t="s">
        <v>388</v>
      </c>
      <c r="F136">
        <v>132103</v>
      </c>
      <c r="G136" t="s">
        <v>27</v>
      </c>
      <c r="H136" t="s">
        <v>955</v>
      </c>
    </row>
    <row r="137" spans="1:8" x14ac:dyDescent="0.25">
      <c r="A137">
        <v>587</v>
      </c>
      <c r="B137">
        <v>610</v>
      </c>
      <c r="C137" t="s">
        <v>22</v>
      </c>
      <c r="D137" t="s">
        <v>140</v>
      </c>
      <c r="E137" t="s">
        <v>495</v>
      </c>
      <c r="F137">
        <v>135003</v>
      </c>
      <c r="G137" t="s">
        <v>30</v>
      </c>
      <c r="H137" t="s">
        <v>956</v>
      </c>
    </row>
    <row r="138" spans="1:8" x14ac:dyDescent="0.25">
      <c r="A138">
        <v>586</v>
      </c>
      <c r="B138">
        <v>513</v>
      </c>
      <c r="C138" t="s">
        <v>22</v>
      </c>
      <c r="D138" t="s">
        <v>140</v>
      </c>
      <c r="E138" t="s">
        <v>133</v>
      </c>
      <c r="F138">
        <v>135003</v>
      </c>
      <c r="G138" t="s">
        <v>30</v>
      </c>
      <c r="H138" t="s">
        <v>957</v>
      </c>
    </row>
    <row r="139" spans="1:8" x14ac:dyDescent="0.25">
      <c r="A139">
        <v>473</v>
      </c>
      <c r="B139">
        <v>667</v>
      </c>
      <c r="C139" t="s">
        <v>22</v>
      </c>
      <c r="D139" t="s">
        <v>367</v>
      </c>
      <c r="E139" t="s">
        <v>386</v>
      </c>
      <c r="F139">
        <v>132101</v>
      </c>
      <c r="G139" t="s">
        <v>27</v>
      </c>
      <c r="H139" t="s">
        <v>958</v>
      </c>
    </row>
    <row r="140" spans="1:8" x14ac:dyDescent="0.25">
      <c r="A140">
        <v>850</v>
      </c>
      <c r="B140">
        <v>549</v>
      </c>
      <c r="C140" t="s">
        <v>22</v>
      </c>
      <c r="D140" t="s">
        <v>536</v>
      </c>
      <c r="E140" t="s">
        <v>704</v>
      </c>
      <c r="F140">
        <v>124001</v>
      </c>
      <c r="G140" t="s">
        <v>30</v>
      </c>
      <c r="H140" t="s">
        <v>959</v>
      </c>
    </row>
    <row r="141" spans="1:8" x14ac:dyDescent="0.25">
      <c r="A141">
        <v>554</v>
      </c>
      <c r="B141">
        <v>486</v>
      </c>
      <c r="C141" t="s">
        <v>22</v>
      </c>
      <c r="D141" t="s">
        <v>453</v>
      </c>
      <c r="E141" t="s">
        <v>468</v>
      </c>
      <c r="F141">
        <v>125060</v>
      </c>
      <c r="G141" t="s">
        <v>27</v>
      </c>
      <c r="H141" t="s">
        <v>960</v>
      </c>
    </row>
    <row r="142" spans="1:8" x14ac:dyDescent="0.25">
      <c r="A142">
        <v>494</v>
      </c>
      <c r="B142">
        <v>376</v>
      </c>
      <c r="C142" t="s">
        <v>22</v>
      </c>
      <c r="D142" t="s">
        <v>367</v>
      </c>
      <c r="E142" t="s">
        <v>405</v>
      </c>
      <c r="F142">
        <v>132103</v>
      </c>
      <c r="G142" t="s">
        <v>30</v>
      </c>
      <c r="H142" t="s">
        <v>961</v>
      </c>
    </row>
    <row r="143" spans="1:8" x14ac:dyDescent="0.25">
      <c r="A143">
        <v>91</v>
      </c>
      <c r="B143">
        <v>492</v>
      </c>
      <c r="C143" t="s">
        <v>22</v>
      </c>
      <c r="D143" t="s">
        <v>29</v>
      </c>
      <c r="E143" t="s">
        <v>752</v>
      </c>
      <c r="G143" t="s">
        <v>30</v>
      </c>
      <c r="H143" t="s">
        <v>962</v>
      </c>
    </row>
    <row r="144" spans="1:8" x14ac:dyDescent="0.25">
      <c r="A144">
        <v>566</v>
      </c>
      <c r="B144">
        <v>502</v>
      </c>
      <c r="C144" t="s">
        <v>22</v>
      </c>
      <c r="D144" t="s">
        <v>453</v>
      </c>
      <c r="E144" t="s">
        <v>480</v>
      </c>
      <c r="F144">
        <v>125110</v>
      </c>
      <c r="G144" t="s">
        <v>27</v>
      </c>
      <c r="H144" t="s">
        <v>963</v>
      </c>
    </row>
    <row r="145" spans="1:8" x14ac:dyDescent="0.25">
      <c r="A145">
        <v>553</v>
      </c>
      <c r="B145">
        <v>463</v>
      </c>
      <c r="C145" t="s">
        <v>22</v>
      </c>
      <c r="D145" t="s">
        <v>453</v>
      </c>
      <c r="E145" t="s">
        <v>467</v>
      </c>
      <c r="F145">
        <v>125054</v>
      </c>
      <c r="G145" t="s">
        <v>27</v>
      </c>
      <c r="H145" t="s">
        <v>964</v>
      </c>
    </row>
    <row r="146" spans="1:8" x14ac:dyDescent="0.25">
      <c r="A146">
        <v>329</v>
      </c>
      <c r="B146">
        <v>1103</v>
      </c>
      <c r="C146" t="s">
        <v>22</v>
      </c>
      <c r="D146" t="s">
        <v>254</v>
      </c>
      <c r="E146" t="s">
        <v>288</v>
      </c>
      <c r="F146">
        <v>132001</v>
      </c>
      <c r="G146" t="s">
        <v>30</v>
      </c>
      <c r="H146" t="s">
        <v>965</v>
      </c>
    </row>
    <row r="147" spans="1:8" x14ac:dyDescent="0.25">
      <c r="A147">
        <v>558</v>
      </c>
      <c r="B147">
        <v>467</v>
      </c>
      <c r="C147" t="s">
        <v>22</v>
      </c>
      <c r="D147" t="s">
        <v>453</v>
      </c>
      <c r="E147" t="s">
        <v>471</v>
      </c>
      <c r="F147">
        <v>125103</v>
      </c>
      <c r="G147" t="s">
        <v>27</v>
      </c>
      <c r="H147" t="s">
        <v>966</v>
      </c>
    </row>
    <row r="148" spans="1:8" x14ac:dyDescent="0.25">
      <c r="A148">
        <v>701</v>
      </c>
      <c r="B148">
        <v>445</v>
      </c>
      <c r="C148" t="s">
        <v>22</v>
      </c>
      <c r="D148" t="s">
        <v>508</v>
      </c>
      <c r="E148" t="s">
        <v>584</v>
      </c>
      <c r="F148">
        <v>121006</v>
      </c>
      <c r="G148" t="s">
        <v>30</v>
      </c>
      <c r="H148" t="s">
        <v>967</v>
      </c>
    </row>
    <row r="149" spans="1:8" x14ac:dyDescent="0.25">
      <c r="A149">
        <v>192</v>
      </c>
      <c r="B149">
        <v>408</v>
      </c>
      <c r="C149" t="s">
        <v>22</v>
      </c>
      <c r="D149" t="s">
        <v>140</v>
      </c>
      <c r="E149" t="s">
        <v>160</v>
      </c>
      <c r="F149">
        <v>135103</v>
      </c>
      <c r="G149" t="s">
        <v>27</v>
      </c>
      <c r="H149" t="s">
        <v>968</v>
      </c>
    </row>
    <row r="150" spans="1:8" x14ac:dyDescent="0.25">
      <c r="A150">
        <v>688</v>
      </c>
      <c r="B150">
        <v>453</v>
      </c>
      <c r="C150" t="s">
        <v>22</v>
      </c>
      <c r="D150" t="s">
        <v>508</v>
      </c>
      <c r="E150" t="s">
        <v>569</v>
      </c>
      <c r="F150">
        <v>121001</v>
      </c>
      <c r="G150" t="s">
        <v>62</v>
      </c>
      <c r="H150" t="s">
        <v>969</v>
      </c>
    </row>
    <row r="151" spans="1:8" x14ac:dyDescent="0.25">
      <c r="A151">
        <v>564</v>
      </c>
      <c r="B151">
        <v>491</v>
      </c>
      <c r="C151" t="s">
        <v>22</v>
      </c>
      <c r="D151" t="s">
        <v>453</v>
      </c>
      <c r="E151" t="s">
        <v>478</v>
      </c>
      <c r="F151">
        <v>125058</v>
      </c>
      <c r="G151" t="s">
        <v>27</v>
      </c>
      <c r="H151" t="s">
        <v>867</v>
      </c>
    </row>
    <row r="152" spans="1:8" x14ac:dyDescent="0.25">
      <c r="A152">
        <v>588</v>
      </c>
      <c r="B152">
        <v>655</v>
      </c>
      <c r="C152" t="s">
        <v>22</v>
      </c>
      <c r="D152" t="s">
        <v>140</v>
      </c>
      <c r="E152" t="s">
        <v>496</v>
      </c>
      <c r="F152">
        <v>135003</v>
      </c>
      <c r="G152" t="s">
        <v>30</v>
      </c>
      <c r="H152" t="s">
        <v>970</v>
      </c>
    </row>
    <row r="153" spans="1:8" x14ac:dyDescent="0.25">
      <c r="A153">
        <v>806</v>
      </c>
      <c r="B153">
        <v>516</v>
      </c>
      <c r="C153" t="s">
        <v>22</v>
      </c>
      <c r="D153" t="s">
        <v>508</v>
      </c>
      <c r="E153" t="s">
        <v>663</v>
      </c>
      <c r="F153">
        <v>121001</v>
      </c>
      <c r="G153" t="s">
        <v>30</v>
      </c>
      <c r="H153" t="s">
        <v>971</v>
      </c>
    </row>
    <row r="154" spans="1:8" x14ac:dyDescent="0.25">
      <c r="A154">
        <v>183</v>
      </c>
      <c r="B154">
        <v>446</v>
      </c>
      <c r="C154" t="s">
        <v>22</v>
      </c>
      <c r="D154" t="s">
        <v>140</v>
      </c>
      <c r="E154" t="s">
        <v>150</v>
      </c>
      <c r="F154">
        <v>135103</v>
      </c>
      <c r="G154" t="s">
        <v>27</v>
      </c>
      <c r="H154" t="s">
        <v>848</v>
      </c>
    </row>
    <row r="155" spans="1:8" x14ac:dyDescent="0.25">
      <c r="A155">
        <v>539</v>
      </c>
      <c r="B155">
        <v>752</v>
      </c>
      <c r="C155" t="s">
        <v>22</v>
      </c>
      <c r="D155" t="s">
        <v>440</v>
      </c>
      <c r="E155" t="s">
        <v>450</v>
      </c>
      <c r="F155">
        <v>123411</v>
      </c>
      <c r="G155" t="s">
        <v>27</v>
      </c>
      <c r="H155" t="s">
        <v>972</v>
      </c>
    </row>
    <row r="156" spans="1:8" x14ac:dyDescent="0.25">
      <c r="A156">
        <v>807</v>
      </c>
      <c r="B156">
        <v>650</v>
      </c>
      <c r="C156" t="s">
        <v>22</v>
      </c>
      <c r="D156" t="s">
        <v>453</v>
      </c>
      <c r="E156" t="s">
        <v>664</v>
      </c>
      <c r="F156">
        <v>125055</v>
      </c>
      <c r="G156" t="s">
        <v>30</v>
      </c>
      <c r="H156" t="s">
        <v>874</v>
      </c>
    </row>
    <row r="157" spans="1:8" x14ac:dyDescent="0.25">
      <c r="A157">
        <v>606</v>
      </c>
      <c r="B157">
        <v>476</v>
      </c>
      <c r="C157" t="s">
        <v>22</v>
      </c>
      <c r="D157" t="s">
        <v>140</v>
      </c>
      <c r="E157" t="s">
        <v>515</v>
      </c>
      <c r="F157">
        <v>135001</v>
      </c>
      <c r="G157" t="s">
        <v>30</v>
      </c>
      <c r="H157" t="s">
        <v>973</v>
      </c>
    </row>
    <row r="158" spans="1:8" x14ac:dyDescent="0.25">
      <c r="A158">
        <v>690</v>
      </c>
      <c r="B158">
        <v>459</v>
      </c>
      <c r="C158" t="s">
        <v>22</v>
      </c>
      <c r="D158" t="s">
        <v>508</v>
      </c>
      <c r="E158" t="s">
        <v>572</v>
      </c>
      <c r="F158">
        <v>121004</v>
      </c>
      <c r="G158" t="s">
        <v>27</v>
      </c>
      <c r="H158" t="s">
        <v>950</v>
      </c>
    </row>
    <row r="159" spans="1:8" x14ac:dyDescent="0.25">
      <c r="A159">
        <v>663</v>
      </c>
      <c r="B159">
        <v>489</v>
      </c>
      <c r="C159" t="s">
        <v>22</v>
      </c>
      <c r="D159" t="s">
        <v>536</v>
      </c>
      <c r="E159" t="s">
        <v>550</v>
      </c>
      <c r="F159">
        <v>124001</v>
      </c>
      <c r="G159" t="s">
        <v>30</v>
      </c>
      <c r="H159" t="s">
        <v>974</v>
      </c>
    </row>
    <row r="160" spans="1:8" x14ac:dyDescent="0.25">
      <c r="A160">
        <v>584</v>
      </c>
      <c r="B160">
        <v>545</v>
      </c>
      <c r="C160" t="s">
        <v>22</v>
      </c>
      <c r="D160" t="s">
        <v>140</v>
      </c>
      <c r="E160" t="s">
        <v>493</v>
      </c>
      <c r="F160">
        <v>135003</v>
      </c>
      <c r="G160" t="s">
        <v>30</v>
      </c>
      <c r="H160" t="s">
        <v>975</v>
      </c>
    </row>
    <row r="161" spans="1:8" x14ac:dyDescent="0.25">
      <c r="A161">
        <v>691</v>
      </c>
      <c r="B161">
        <v>522</v>
      </c>
      <c r="C161" t="s">
        <v>22</v>
      </c>
      <c r="D161" t="s">
        <v>508</v>
      </c>
      <c r="E161" t="s">
        <v>573</v>
      </c>
      <c r="F161">
        <v>121002</v>
      </c>
      <c r="G161" t="s">
        <v>27</v>
      </c>
      <c r="H161" t="s">
        <v>976</v>
      </c>
    </row>
    <row r="162" spans="1:8" x14ac:dyDescent="0.25">
      <c r="A162">
        <v>609</v>
      </c>
      <c r="B162">
        <v>557</v>
      </c>
      <c r="C162" t="s">
        <v>22</v>
      </c>
      <c r="D162" t="s">
        <v>140</v>
      </c>
      <c r="E162" t="s">
        <v>518</v>
      </c>
      <c r="F162">
        <v>135001</v>
      </c>
      <c r="G162" t="s">
        <v>30</v>
      </c>
      <c r="H162" t="s">
        <v>977</v>
      </c>
    </row>
    <row r="163" spans="1:8" x14ac:dyDescent="0.25">
      <c r="A163">
        <v>712</v>
      </c>
      <c r="B163">
        <v>514</v>
      </c>
      <c r="C163" t="s">
        <v>22</v>
      </c>
      <c r="D163" t="s">
        <v>508</v>
      </c>
      <c r="E163" t="s">
        <v>594</v>
      </c>
      <c r="F163">
        <v>121001</v>
      </c>
      <c r="G163" t="s">
        <v>30</v>
      </c>
      <c r="H163" t="s">
        <v>978</v>
      </c>
    </row>
    <row r="164" spans="1:8" x14ac:dyDescent="0.25">
      <c r="A164">
        <v>602</v>
      </c>
      <c r="B164">
        <v>551</v>
      </c>
      <c r="C164" t="s">
        <v>22</v>
      </c>
      <c r="D164" t="s">
        <v>140</v>
      </c>
      <c r="E164" t="s">
        <v>511</v>
      </c>
      <c r="F164">
        <v>135001</v>
      </c>
      <c r="G164" t="s">
        <v>30</v>
      </c>
      <c r="H164" t="s">
        <v>979</v>
      </c>
    </row>
    <row r="165" spans="1:8" x14ac:dyDescent="0.25">
      <c r="A165">
        <v>476</v>
      </c>
      <c r="B165">
        <v>482</v>
      </c>
      <c r="C165" t="s">
        <v>22</v>
      </c>
      <c r="D165" t="s">
        <v>367</v>
      </c>
      <c r="E165" t="s">
        <v>389</v>
      </c>
      <c r="F165">
        <v>132103</v>
      </c>
      <c r="G165" t="s">
        <v>27</v>
      </c>
      <c r="H165" t="s">
        <v>858</v>
      </c>
    </row>
    <row r="166" spans="1:8" x14ac:dyDescent="0.25">
      <c r="A166">
        <v>687</v>
      </c>
      <c r="B166">
        <v>469</v>
      </c>
      <c r="C166" t="s">
        <v>22</v>
      </c>
      <c r="D166" t="s">
        <v>508</v>
      </c>
      <c r="E166" t="s">
        <v>568</v>
      </c>
      <c r="F166">
        <v>121101</v>
      </c>
      <c r="G166" t="s">
        <v>24</v>
      </c>
      <c r="H166" t="s">
        <v>980</v>
      </c>
    </row>
    <row r="167" spans="1:8" x14ac:dyDescent="0.25">
      <c r="A167">
        <v>561</v>
      </c>
      <c r="B167">
        <v>462</v>
      </c>
      <c r="C167" t="s">
        <v>22</v>
      </c>
      <c r="D167" t="s">
        <v>453</v>
      </c>
      <c r="E167" t="s">
        <v>475</v>
      </c>
      <c r="F167">
        <v>125075</v>
      </c>
      <c r="G167" t="s">
        <v>27</v>
      </c>
      <c r="H167" t="s">
        <v>858</v>
      </c>
    </row>
    <row r="168" spans="1:8" x14ac:dyDescent="0.25">
      <c r="A168">
        <v>662</v>
      </c>
      <c r="B168">
        <v>565</v>
      </c>
      <c r="C168" t="s">
        <v>22</v>
      </c>
      <c r="D168" t="s">
        <v>536</v>
      </c>
      <c r="E168" t="s">
        <v>549</v>
      </c>
      <c r="F168">
        <v>124001</v>
      </c>
      <c r="G168" t="s">
        <v>30</v>
      </c>
      <c r="H168" t="s">
        <v>981</v>
      </c>
    </row>
    <row r="169" spans="1:8" x14ac:dyDescent="0.25">
      <c r="A169">
        <v>323</v>
      </c>
      <c r="B169">
        <v>680</v>
      </c>
      <c r="C169" t="s">
        <v>22</v>
      </c>
      <c r="D169" t="s">
        <v>254</v>
      </c>
      <c r="E169" t="s">
        <v>284</v>
      </c>
      <c r="F169">
        <v>132001</v>
      </c>
      <c r="G169" t="s">
        <v>30</v>
      </c>
      <c r="H169" t="s">
        <v>982</v>
      </c>
    </row>
    <row r="170" spans="1:8" x14ac:dyDescent="0.25">
      <c r="A170">
        <v>570</v>
      </c>
      <c r="B170">
        <v>461</v>
      </c>
      <c r="C170" t="s">
        <v>22</v>
      </c>
      <c r="D170" t="s">
        <v>453</v>
      </c>
      <c r="E170" t="s">
        <v>485</v>
      </c>
      <c r="F170">
        <v>125104</v>
      </c>
      <c r="G170" t="s">
        <v>77</v>
      </c>
      <c r="H170" t="s">
        <v>983</v>
      </c>
    </row>
    <row r="171" spans="1:8" x14ac:dyDescent="0.25">
      <c r="A171">
        <v>557</v>
      </c>
      <c r="B171">
        <v>493</v>
      </c>
      <c r="C171" t="s">
        <v>22</v>
      </c>
      <c r="D171" t="s">
        <v>453</v>
      </c>
      <c r="E171" t="s">
        <v>470</v>
      </c>
      <c r="F171">
        <v>125103</v>
      </c>
      <c r="G171" t="s">
        <v>27</v>
      </c>
      <c r="H171" t="s">
        <v>960</v>
      </c>
    </row>
    <row r="172" spans="1:8" x14ac:dyDescent="0.25">
      <c r="A172">
        <v>699</v>
      </c>
      <c r="B172">
        <v>430</v>
      </c>
      <c r="C172" t="s">
        <v>22</v>
      </c>
      <c r="D172" t="s">
        <v>508</v>
      </c>
      <c r="E172" t="s">
        <v>581</v>
      </c>
      <c r="F172">
        <v>121001</v>
      </c>
      <c r="G172" t="s">
        <v>30</v>
      </c>
      <c r="H172" t="s">
        <v>984</v>
      </c>
    </row>
    <row r="173" spans="1:8" x14ac:dyDescent="0.25">
      <c r="A173">
        <v>552</v>
      </c>
      <c r="B173">
        <v>472</v>
      </c>
      <c r="C173" t="s">
        <v>22</v>
      </c>
      <c r="D173" t="s">
        <v>453</v>
      </c>
      <c r="E173" t="s">
        <v>466</v>
      </c>
      <c r="F173">
        <v>125103</v>
      </c>
      <c r="G173" t="s">
        <v>27</v>
      </c>
      <c r="H173" t="s">
        <v>960</v>
      </c>
    </row>
    <row r="174" spans="1:8" x14ac:dyDescent="0.25">
      <c r="A174">
        <v>844</v>
      </c>
      <c r="B174">
        <v>623</v>
      </c>
      <c r="C174" t="s">
        <v>22</v>
      </c>
      <c r="D174" t="s">
        <v>29</v>
      </c>
      <c r="E174" t="s">
        <v>701</v>
      </c>
      <c r="F174">
        <v>122001</v>
      </c>
      <c r="G174" t="s">
        <v>30</v>
      </c>
      <c r="H174" t="s">
        <v>985</v>
      </c>
    </row>
    <row r="175" spans="1:8" x14ac:dyDescent="0.25">
      <c r="A175">
        <v>659</v>
      </c>
      <c r="B175">
        <v>542</v>
      </c>
      <c r="C175" t="s">
        <v>22</v>
      </c>
      <c r="D175" t="s">
        <v>536</v>
      </c>
      <c r="E175" t="s">
        <v>546</v>
      </c>
      <c r="F175">
        <v>124001</v>
      </c>
      <c r="G175" t="s">
        <v>30</v>
      </c>
      <c r="H175" t="s">
        <v>986</v>
      </c>
    </row>
    <row r="176" spans="1:8" x14ac:dyDescent="0.25">
      <c r="A176">
        <v>440</v>
      </c>
      <c r="B176">
        <v>1138</v>
      </c>
      <c r="C176" t="s">
        <v>22</v>
      </c>
      <c r="D176" t="s">
        <v>38</v>
      </c>
      <c r="E176" t="s">
        <v>363</v>
      </c>
      <c r="F176">
        <v>134109</v>
      </c>
      <c r="G176" t="s">
        <v>62</v>
      </c>
      <c r="H176" t="s">
        <v>987</v>
      </c>
    </row>
    <row r="177" spans="1:8" x14ac:dyDescent="0.25">
      <c r="A177">
        <v>697</v>
      </c>
      <c r="B177">
        <v>524</v>
      </c>
      <c r="C177" t="s">
        <v>22</v>
      </c>
      <c r="D177" t="s">
        <v>508</v>
      </c>
      <c r="E177" t="s">
        <v>579</v>
      </c>
      <c r="F177">
        <v>121009</v>
      </c>
      <c r="G177" t="s">
        <v>30</v>
      </c>
      <c r="H177" t="s">
        <v>988</v>
      </c>
    </row>
    <row r="178" spans="1:8" x14ac:dyDescent="0.25">
      <c r="A178">
        <v>703</v>
      </c>
      <c r="B178">
        <v>436</v>
      </c>
      <c r="C178" t="s">
        <v>22</v>
      </c>
      <c r="D178" t="s">
        <v>508</v>
      </c>
      <c r="E178" t="s">
        <v>586</v>
      </c>
      <c r="F178">
        <v>121001</v>
      </c>
      <c r="G178" t="s">
        <v>30</v>
      </c>
      <c r="H178" t="s">
        <v>989</v>
      </c>
    </row>
    <row r="179" spans="1:8" x14ac:dyDescent="0.25">
      <c r="A179">
        <v>479</v>
      </c>
      <c r="B179">
        <v>1009</v>
      </c>
      <c r="C179" t="s">
        <v>22</v>
      </c>
      <c r="D179" t="s">
        <v>367</v>
      </c>
      <c r="E179" t="s">
        <v>392</v>
      </c>
      <c r="F179">
        <v>132103</v>
      </c>
      <c r="G179" t="s">
        <v>30</v>
      </c>
      <c r="H179" t="s">
        <v>893</v>
      </c>
    </row>
    <row r="180" spans="1:8" x14ac:dyDescent="0.25">
      <c r="A180">
        <v>345</v>
      </c>
      <c r="B180">
        <v>379</v>
      </c>
      <c r="C180" t="s">
        <v>22</v>
      </c>
      <c r="D180" t="s">
        <v>254</v>
      </c>
      <c r="E180" t="s">
        <v>293</v>
      </c>
      <c r="F180">
        <v>132001</v>
      </c>
      <c r="G180" t="s">
        <v>30</v>
      </c>
      <c r="H180" t="s">
        <v>900</v>
      </c>
    </row>
    <row r="181" spans="1:8" x14ac:dyDescent="0.25">
      <c r="A181">
        <v>630</v>
      </c>
      <c r="B181">
        <v>703</v>
      </c>
      <c r="C181" t="s">
        <v>22</v>
      </c>
      <c r="D181" t="s">
        <v>440</v>
      </c>
      <c r="E181" t="s">
        <v>535</v>
      </c>
      <c r="F181">
        <v>123401</v>
      </c>
      <c r="G181" t="s">
        <v>27</v>
      </c>
      <c r="H181" t="s">
        <v>990</v>
      </c>
    </row>
    <row r="182" spans="1:8" x14ac:dyDescent="0.25">
      <c r="A182">
        <v>565</v>
      </c>
      <c r="B182">
        <v>552</v>
      </c>
      <c r="C182" t="s">
        <v>22</v>
      </c>
      <c r="D182" t="s">
        <v>453</v>
      </c>
      <c r="E182" t="s">
        <v>479</v>
      </c>
      <c r="F182">
        <v>125110</v>
      </c>
      <c r="G182" t="s">
        <v>27</v>
      </c>
      <c r="H182" t="s">
        <v>991</v>
      </c>
    </row>
    <row r="183" spans="1:8" x14ac:dyDescent="0.25">
      <c r="A183">
        <v>431</v>
      </c>
      <c r="B183">
        <v>573</v>
      </c>
      <c r="C183" t="s">
        <v>22</v>
      </c>
      <c r="D183" t="s">
        <v>333</v>
      </c>
      <c r="E183" t="s">
        <v>354</v>
      </c>
      <c r="F183">
        <v>122508</v>
      </c>
      <c r="G183" t="s">
        <v>27</v>
      </c>
      <c r="H183" t="s">
        <v>992</v>
      </c>
    </row>
    <row r="184" spans="1:8" x14ac:dyDescent="0.25">
      <c r="A184">
        <v>829</v>
      </c>
      <c r="B184">
        <v>592</v>
      </c>
      <c r="C184" t="s">
        <v>22</v>
      </c>
      <c r="D184" t="s">
        <v>453</v>
      </c>
      <c r="E184" t="s">
        <v>685</v>
      </c>
      <c r="F184">
        <v>125055</v>
      </c>
      <c r="G184" t="s">
        <v>30</v>
      </c>
      <c r="H184" t="s">
        <v>874</v>
      </c>
    </row>
    <row r="185" spans="1:8" x14ac:dyDescent="0.25">
      <c r="A185">
        <v>595</v>
      </c>
      <c r="B185">
        <v>555</v>
      </c>
      <c r="C185" t="s">
        <v>22</v>
      </c>
      <c r="D185" t="s">
        <v>140</v>
      </c>
      <c r="E185" t="s">
        <v>502</v>
      </c>
      <c r="F185">
        <v>135002</v>
      </c>
      <c r="G185" t="s">
        <v>30</v>
      </c>
      <c r="H185" t="s">
        <v>993</v>
      </c>
    </row>
    <row r="186" spans="1:8" x14ac:dyDescent="0.25">
      <c r="A186">
        <v>684</v>
      </c>
      <c r="B186">
        <v>540</v>
      </c>
      <c r="C186" t="s">
        <v>22</v>
      </c>
      <c r="D186" t="s">
        <v>508</v>
      </c>
      <c r="E186" t="s">
        <v>565</v>
      </c>
      <c r="F186">
        <v>121004</v>
      </c>
      <c r="G186" t="s">
        <v>24</v>
      </c>
      <c r="H186" t="s">
        <v>994</v>
      </c>
    </row>
    <row r="187" spans="1:8" x14ac:dyDescent="0.25">
      <c r="A187">
        <v>865</v>
      </c>
      <c r="B187">
        <v>561</v>
      </c>
      <c r="C187" t="s">
        <v>22</v>
      </c>
      <c r="D187" t="s">
        <v>508</v>
      </c>
      <c r="E187" t="s">
        <v>714</v>
      </c>
      <c r="F187">
        <v>121004</v>
      </c>
      <c r="G187" t="s">
        <v>30</v>
      </c>
      <c r="H187" t="s">
        <v>995</v>
      </c>
    </row>
    <row r="188" spans="1:8" x14ac:dyDescent="0.25">
      <c r="A188">
        <v>607</v>
      </c>
      <c r="B188">
        <v>553</v>
      </c>
      <c r="C188" t="s">
        <v>22</v>
      </c>
      <c r="D188" t="s">
        <v>140</v>
      </c>
      <c r="E188" t="s">
        <v>516</v>
      </c>
      <c r="F188">
        <v>135001</v>
      </c>
      <c r="G188" t="s">
        <v>30</v>
      </c>
      <c r="H188" t="s">
        <v>996</v>
      </c>
    </row>
    <row r="189" spans="1:8" x14ac:dyDescent="0.25">
      <c r="A189">
        <v>593</v>
      </c>
      <c r="B189">
        <v>603</v>
      </c>
      <c r="C189" t="s">
        <v>22</v>
      </c>
      <c r="D189" t="s">
        <v>140</v>
      </c>
      <c r="E189" t="s">
        <v>500</v>
      </c>
      <c r="F189">
        <v>135002</v>
      </c>
      <c r="G189" t="s">
        <v>30</v>
      </c>
      <c r="H189" t="s">
        <v>997</v>
      </c>
    </row>
    <row r="190" spans="1:8" x14ac:dyDescent="0.25">
      <c r="A190">
        <v>272</v>
      </c>
      <c r="B190">
        <v>526</v>
      </c>
      <c r="C190" t="s">
        <v>22</v>
      </c>
      <c r="D190" t="s">
        <v>239</v>
      </c>
      <c r="E190" t="s">
        <v>246</v>
      </c>
      <c r="F190">
        <v>136027</v>
      </c>
      <c r="G190" t="s">
        <v>27</v>
      </c>
      <c r="H190" t="s">
        <v>998</v>
      </c>
    </row>
    <row r="191" spans="1:8" x14ac:dyDescent="0.25">
      <c r="A191">
        <v>267</v>
      </c>
      <c r="B191">
        <v>521</v>
      </c>
      <c r="C191" t="s">
        <v>22</v>
      </c>
      <c r="D191" t="s">
        <v>239</v>
      </c>
      <c r="E191" t="s">
        <v>240</v>
      </c>
      <c r="F191">
        <v>136044</v>
      </c>
      <c r="G191" t="s">
        <v>24</v>
      </c>
      <c r="H191" t="s">
        <v>999</v>
      </c>
    </row>
    <row r="192" spans="1:8" x14ac:dyDescent="0.25">
      <c r="A192">
        <v>809</v>
      </c>
      <c r="B192">
        <v>644</v>
      </c>
      <c r="C192" t="s">
        <v>22</v>
      </c>
      <c r="D192" t="s">
        <v>453</v>
      </c>
      <c r="E192" t="s">
        <v>666</v>
      </c>
      <c r="F192">
        <v>125055</v>
      </c>
      <c r="G192" t="s">
        <v>30</v>
      </c>
      <c r="H192" t="s">
        <v>1000</v>
      </c>
    </row>
    <row r="193" spans="1:8" x14ac:dyDescent="0.25">
      <c r="A193">
        <v>656</v>
      </c>
      <c r="B193">
        <v>543</v>
      </c>
      <c r="C193" t="s">
        <v>22</v>
      </c>
      <c r="D193" t="s">
        <v>536</v>
      </c>
      <c r="E193" t="s">
        <v>543</v>
      </c>
      <c r="F193">
        <v>124001</v>
      </c>
      <c r="G193" t="s">
        <v>30</v>
      </c>
      <c r="H193" t="s">
        <v>1001</v>
      </c>
    </row>
    <row r="194" spans="1:8" x14ac:dyDescent="0.25">
      <c r="A194">
        <v>547</v>
      </c>
      <c r="B194">
        <v>416</v>
      </c>
      <c r="C194" t="s">
        <v>22</v>
      </c>
      <c r="D194" t="s">
        <v>453</v>
      </c>
      <c r="E194" t="s">
        <v>461</v>
      </c>
      <c r="F194">
        <v>125055</v>
      </c>
      <c r="G194" t="s">
        <v>62</v>
      </c>
      <c r="H194" t="s">
        <v>1002</v>
      </c>
    </row>
    <row r="195" spans="1:8" x14ac:dyDescent="0.25">
      <c r="A195">
        <v>580</v>
      </c>
      <c r="B195">
        <v>455</v>
      </c>
      <c r="C195" t="s">
        <v>22</v>
      </c>
      <c r="D195" t="s">
        <v>140</v>
      </c>
      <c r="E195" t="s">
        <v>489</v>
      </c>
      <c r="F195">
        <v>135003</v>
      </c>
      <c r="G195" t="s">
        <v>30</v>
      </c>
      <c r="H195" t="s">
        <v>1003</v>
      </c>
    </row>
    <row r="196" spans="1:8" x14ac:dyDescent="0.25">
      <c r="A196">
        <v>505</v>
      </c>
      <c r="B196">
        <v>1011</v>
      </c>
      <c r="C196" t="s">
        <v>22</v>
      </c>
      <c r="D196" t="s">
        <v>367</v>
      </c>
      <c r="E196" t="s">
        <v>417</v>
      </c>
      <c r="F196">
        <v>132103</v>
      </c>
      <c r="G196" t="s">
        <v>30</v>
      </c>
      <c r="H196" t="s">
        <v>1004</v>
      </c>
    </row>
    <row r="197" spans="1:8" x14ac:dyDescent="0.25">
      <c r="A197">
        <v>702</v>
      </c>
      <c r="B197">
        <v>533</v>
      </c>
      <c r="C197" t="s">
        <v>22</v>
      </c>
      <c r="D197" t="s">
        <v>508</v>
      </c>
      <c r="E197" t="s">
        <v>585</v>
      </c>
      <c r="F197">
        <v>121001</v>
      </c>
      <c r="G197" t="s">
        <v>30</v>
      </c>
      <c r="H197" t="s">
        <v>1005</v>
      </c>
    </row>
    <row r="198" spans="1:8" x14ac:dyDescent="0.25">
      <c r="A198">
        <v>738</v>
      </c>
      <c r="B198">
        <v>515</v>
      </c>
      <c r="C198" t="s">
        <v>22</v>
      </c>
      <c r="D198" t="s">
        <v>239</v>
      </c>
      <c r="E198" t="s">
        <v>617</v>
      </c>
      <c r="F198">
        <v>136027</v>
      </c>
      <c r="G198" t="s">
        <v>30</v>
      </c>
      <c r="H198" t="s">
        <v>1006</v>
      </c>
    </row>
    <row r="199" spans="1:8" x14ac:dyDescent="0.25">
      <c r="A199">
        <v>842</v>
      </c>
      <c r="B199">
        <v>547</v>
      </c>
      <c r="C199" t="s">
        <v>22</v>
      </c>
      <c r="D199" t="s">
        <v>453</v>
      </c>
      <c r="E199" t="s">
        <v>700</v>
      </c>
      <c r="F199">
        <v>125076</v>
      </c>
      <c r="G199" t="s">
        <v>27</v>
      </c>
      <c r="H199" t="s">
        <v>1007</v>
      </c>
    </row>
    <row r="200" spans="1:8" x14ac:dyDescent="0.25">
      <c r="A200">
        <v>541</v>
      </c>
      <c r="B200">
        <v>477</v>
      </c>
      <c r="C200" t="s">
        <v>22</v>
      </c>
      <c r="D200" t="s">
        <v>453</v>
      </c>
      <c r="E200" t="s">
        <v>454</v>
      </c>
      <c r="F200">
        <v>125077</v>
      </c>
      <c r="G200" t="s">
        <v>24</v>
      </c>
      <c r="H200" t="s">
        <v>1008</v>
      </c>
    </row>
    <row r="201" spans="1:8" x14ac:dyDescent="0.25">
      <c r="A201">
        <v>24</v>
      </c>
      <c r="B201">
        <v>778</v>
      </c>
      <c r="C201" t="s">
        <v>22</v>
      </c>
      <c r="D201" t="s">
        <v>23</v>
      </c>
      <c r="E201" t="s">
        <v>212</v>
      </c>
      <c r="F201">
        <v>134007</v>
      </c>
      <c r="G201" t="s">
        <v>30</v>
      </c>
      <c r="H201" t="s">
        <v>1009</v>
      </c>
    </row>
    <row r="202" spans="1:8" x14ac:dyDescent="0.25">
      <c r="A202">
        <v>849</v>
      </c>
      <c r="B202">
        <v>560</v>
      </c>
      <c r="C202" t="s">
        <v>22</v>
      </c>
      <c r="D202" t="s">
        <v>508</v>
      </c>
      <c r="E202" t="s">
        <v>703</v>
      </c>
      <c r="F202">
        <v>121004</v>
      </c>
      <c r="G202" t="s">
        <v>30</v>
      </c>
      <c r="H202" t="s">
        <v>1010</v>
      </c>
    </row>
    <row r="203" spans="1:8" x14ac:dyDescent="0.25">
      <c r="A203">
        <v>729</v>
      </c>
      <c r="B203">
        <v>564</v>
      </c>
      <c r="C203" t="s">
        <v>22</v>
      </c>
      <c r="D203" t="s">
        <v>239</v>
      </c>
      <c r="E203" t="s">
        <v>609</v>
      </c>
      <c r="G203" t="s">
        <v>27</v>
      </c>
      <c r="H203" t="s">
        <v>1011</v>
      </c>
    </row>
    <row r="204" spans="1:8" x14ac:dyDescent="0.25">
      <c r="A204">
        <v>721</v>
      </c>
      <c r="B204">
        <v>781</v>
      </c>
      <c r="C204" t="s">
        <v>22</v>
      </c>
      <c r="D204" t="s">
        <v>239</v>
      </c>
      <c r="E204" t="s">
        <v>601</v>
      </c>
      <c r="F204">
        <v>136026</v>
      </c>
      <c r="G204" t="s">
        <v>27</v>
      </c>
      <c r="H204" t="s">
        <v>1012</v>
      </c>
    </row>
    <row r="205" spans="1:8" x14ac:dyDescent="0.25">
      <c r="A205">
        <v>675</v>
      </c>
      <c r="B205">
        <v>566</v>
      </c>
      <c r="C205" t="s">
        <v>22</v>
      </c>
      <c r="D205" t="s">
        <v>536</v>
      </c>
      <c r="E205" t="s">
        <v>560</v>
      </c>
      <c r="F205">
        <v>124001</v>
      </c>
      <c r="G205" t="s">
        <v>30</v>
      </c>
      <c r="H205" t="s">
        <v>1013</v>
      </c>
    </row>
    <row r="206" spans="1:8" x14ac:dyDescent="0.25">
      <c r="A206">
        <v>676</v>
      </c>
      <c r="B206">
        <v>508</v>
      </c>
      <c r="C206" t="s">
        <v>22</v>
      </c>
      <c r="D206" t="s">
        <v>536</v>
      </c>
      <c r="E206" t="s">
        <v>561</v>
      </c>
      <c r="F206">
        <v>124001</v>
      </c>
      <c r="G206" t="s">
        <v>30</v>
      </c>
      <c r="H206" t="s">
        <v>1014</v>
      </c>
    </row>
    <row r="207" spans="1:8" x14ac:dyDescent="0.25">
      <c r="A207">
        <v>658</v>
      </c>
      <c r="B207">
        <v>559</v>
      </c>
      <c r="C207" t="s">
        <v>22</v>
      </c>
      <c r="D207" t="s">
        <v>536</v>
      </c>
      <c r="E207" t="s">
        <v>545</v>
      </c>
      <c r="F207">
        <v>124001</v>
      </c>
      <c r="G207" t="s">
        <v>30</v>
      </c>
      <c r="H207" t="s">
        <v>1015</v>
      </c>
    </row>
    <row r="208" spans="1:8" x14ac:dyDescent="0.25">
      <c r="A208">
        <v>464</v>
      </c>
      <c r="B208">
        <v>330</v>
      </c>
      <c r="C208" t="s">
        <v>22</v>
      </c>
      <c r="D208" t="s">
        <v>367</v>
      </c>
      <c r="E208" t="s">
        <v>376</v>
      </c>
      <c r="F208">
        <v>132103</v>
      </c>
      <c r="G208" t="s">
        <v>62</v>
      </c>
      <c r="H208" t="s">
        <v>1016</v>
      </c>
    </row>
    <row r="209" spans="1:8" x14ac:dyDescent="0.25">
      <c r="A209">
        <v>270</v>
      </c>
      <c r="B209">
        <v>611</v>
      </c>
      <c r="C209" t="s">
        <v>22</v>
      </c>
      <c r="D209" t="s">
        <v>239</v>
      </c>
      <c r="E209" t="s">
        <v>244</v>
      </c>
      <c r="F209">
        <v>136020</v>
      </c>
      <c r="G209" t="s">
        <v>27</v>
      </c>
      <c r="H209" t="s">
        <v>858</v>
      </c>
    </row>
    <row r="210" spans="1:8" x14ac:dyDescent="0.25">
      <c r="A210">
        <v>597</v>
      </c>
      <c r="B210">
        <v>608</v>
      </c>
      <c r="C210" t="s">
        <v>22</v>
      </c>
      <c r="D210" t="s">
        <v>140</v>
      </c>
      <c r="E210" t="s">
        <v>504</v>
      </c>
      <c r="F210">
        <v>135001</v>
      </c>
      <c r="G210" t="s">
        <v>30</v>
      </c>
      <c r="H210" t="s">
        <v>1017</v>
      </c>
    </row>
    <row r="211" spans="1:8" x14ac:dyDescent="0.25">
      <c r="A211">
        <v>479</v>
      </c>
      <c r="B211">
        <v>1165</v>
      </c>
      <c r="C211" t="s">
        <v>22</v>
      </c>
      <c r="D211" t="s">
        <v>367</v>
      </c>
      <c r="E211" t="s">
        <v>392</v>
      </c>
      <c r="F211">
        <v>132103</v>
      </c>
      <c r="G211" t="s">
        <v>30</v>
      </c>
      <c r="H211" t="s">
        <v>893</v>
      </c>
    </row>
    <row r="212" spans="1:8" x14ac:dyDescent="0.25">
      <c r="A212">
        <v>700</v>
      </c>
      <c r="B212">
        <v>525</v>
      </c>
      <c r="C212" t="s">
        <v>22</v>
      </c>
      <c r="D212" t="s">
        <v>508</v>
      </c>
      <c r="E212" t="s">
        <v>583</v>
      </c>
      <c r="F212">
        <v>121002</v>
      </c>
      <c r="G212" t="s">
        <v>30</v>
      </c>
      <c r="H212" t="s">
        <v>1018</v>
      </c>
    </row>
    <row r="213" spans="1:8" x14ac:dyDescent="0.25">
      <c r="A213">
        <v>825</v>
      </c>
      <c r="B213">
        <v>604</v>
      </c>
      <c r="C213" t="s">
        <v>22</v>
      </c>
      <c r="D213" t="s">
        <v>453</v>
      </c>
      <c r="E213" t="s">
        <v>681</v>
      </c>
      <c r="F213">
        <v>125055</v>
      </c>
      <c r="G213" t="s">
        <v>30</v>
      </c>
      <c r="H213" t="s">
        <v>960</v>
      </c>
    </row>
    <row r="214" spans="1:8" x14ac:dyDescent="0.25">
      <c r="A214">
        <v>457</v>
      </c>
      <c r="B214">
        <v>346</v>
      </c>
      <c r="C214" t="s">
        <v>22</v>
      </c>
      <c r="D214" t="s">
        <v>367</v>
      </c>
      <c r="E214" t="s">
        <v>368</v>
      </c>
      <c r="F214">
        <v>132103</v>
      </c>
      <c r="G214" t="s">
        <v>24</v>
      </c>
      <c r="H214" t="s">
        <v>1019</v>
      </c>
    </row>
    <row r="215" spans="1:8" x14ac:dyDescent="0.25">
      <c r="A215">
        <v>743</v>
      </c>
      <c r="B215">
        <v>562</v>
      </c>
      <c r="C215" t="s">
        <v>22</v>
      </c>
      <c r="D215" t="s">
        <v>239</v>
      </c>
      <c r="E215" t="s">
        <v>622</v>
      </c>
      <c r="F215">
        <v>136027</v>
      </c>
      <c r="G215" t="s">
        <v>77</v>
      </c>
      <c r="H215" t="s">
        <v>841</v>
      </c>
    </row>
    <row r="216" spans="1:8" x14ac:dyDescent="0.25">
      <c r="A216">
        <v>735</v>
      </c>
      <c r="B216">
        <v>517</v>
      </c>
      <c r="C216" t="s">
        <v>22</v>
      </c>
      <c r="D216" t="s">
        <v>239</v>
      </c>
      <c r="E216" t="s">
        <v>614</v>
      </c>
      <c r="F216">
        <v>136027</v>
      </c>
      <c r="G216" t="s">
        <v>30</v>
      </c>
      <c r="H216" t="s">
        <v>1020</v>
      </c>
    </row>
    <row r="217" spans="1:8" x14ac:dyDescent="0.25">
      <c r="A217">
        <v>12</v>
      </c>
      <c r="B217">
        <v>902</v>
      </c>
      <c r="C217" t="s">
        <v>22</v>
      </c>
      <c r="D217" t="s">
        <v>23</v>
      </c>
      <c r="E217" t="s">
        <v>80</v>
      </c>
      <c r="F217">
        <v>134007</v>
      </c>
      <c r="G217" t="s">
        <v>27</v>
      </c>
      <c r="H217" t="s">
        <v>1021</v>
      </c>
    </row>
    <row r="218" spans="1:8" x14ac:dyDescent="0.25">
      <c r="A218">
        <v>623</v>
      </c>
      <c r="B218">
        <v>705</v>
      </c>
      <c r="C218" t="s">
        <v>22</v>
      </c>
      <c r="D218" t="s">
        <v>440</v>
      </c>
      <c r="E218" t="s">
        <v>528</v>
      </c>
      <c r="F218">
        <v>123401</v>
      </c>
      <c r="G218" t="s">
        <v>27</v>
      </c>
      <c r="H218" t="s">
        <v>1022</v>
      </c>
    </row>
    <row r="219" spans="1:8" x14ac:dyDescent="0.25">
      <c r="A219">
        <v>603</v>
      </c>
      <c r="B219">
        <v>615</v>
      </c>
      <c r="C219" t="s">
        <v>22</v>
      </c>
      <c r="D219" t="s">
        <v>140</v>
      </c>
      <c r="E219" t="s">
        <v>512</v>
      </c>
      <c r="F219">
        <v>135001</v>
      </c>
      <c r="G219" t="s">
        <v>30</v>
      </c>
      <c r="H219" t="s">
        <v>1023</v>
      </c>
    </row>
    <row r="220" spans="1:8" x14ac:dyDescent="0.25">
      <c r="A220">
        <v>783</v>
      </c>
      <c r="B220">
        <v>1086</v>
      </c>
      <c r="C220" t="s">
        <v>22</v>
      </c>
      <c r="D220" t="s">
        <v>32</v>
      </c>
      <c r="E220" t="s">
        <v>645</v>
      </c>
      <c r="F220">
        <v>125051</v>
      </c>
      <c r="G220" t="s">
        <v>27</v>
      </c>
      <c r="H220" t="s">
        <v>1024</v>
      </c>
    </row>
    <row r="221" spans="1:8" x14ac:dyDescent="0.25">
      <c r="A221">
        <v>141</v>
      </c>
      <c r="B221">
        <v>325</v>
      </c>
      <c r="C221" t="s">
        <v>22</v>
      </c>
      <c r="D221" t="s">
        <v>42</v>
      </c>
      <c r="E221" t="s">
        <v>126</v>
      </c>
      <c r="F221">
        <v>125005</v>
      </c>
      <c r="G221" t="s">
        <v>125</v>
      </c>
      <c r="H221" t="s">
        <v>1025</v>
      </c>
    </row>
    <row r="222" spans="1:8" x14ac:dyDescent="0.25">
      <c r="A222">
        <v>836</v>
      </c>
      <c r="B222">
        <v>605</v>
      </c>
      <c r="C222" t="s">
        <v>22</v>
      </c>
      <c r="D222" t="s">
        <v>453</v>
      </c>
      <c r="E222" t="s">
        <v>693</v>
      </c>
      <c r="F222">
        <v>125055</v>
      </c>
      <c r="G222" t="s">
        <v>30</v>
      </c>
      <c r="H222" t="s">
        <v>1026</v>
      </c>
    </row>
    <row r="223" spans="1:8" x14ac:dyDescent="0.25">
      <c r="A223">
        <v>282</v>
      </c>
      <c r="B223">
        <v>668</v>
      </c>
      <c r="C223" t="s">
        <v>22</v>
      </c>
      <c r="D223" t="s">
        <v>254</v>
      </c>
      <c r="E223" t="s">
        <v>258</v>
      </c>
      <c r="F223">
        <v>132116</v>
      </c>
      <c r="G223" t="s">
        <v>24</v>
      </c>
      <c r="H223" t="s">
        <v>1027</v>
      </c>
    </row>
    <row r="224" spans="1:8" x14ac:dyDescent="0.25">
      <c r="A224">
        <v>714</v>
      </c>
      <c r="B224">
        <v>527</v>
      </c>
      <c r="C224" t="s">
        <v>22</v>
      </c>
      <c r="D224" t="s">
        <v>508</v>
      </c>
      <c r="E224" t="s">
        <v>596</v>
      </c>
      <c r="F224">
        <v>121002</v>
      </c>
      <c r="G224" t="s">
        <v>30</v>
      </c>
      <c r="H224" t="s">
        <v>1028</v>
      </c>
    </row>
    <row r="225" spans="1:8" x14ac:dyDescent="0.25">
      <c r="A225">
        <v>94</v>
      </c>
      <c r="B225">
        <v>1122</v>
      </c>
      <c r="C225" t="s">
        <v>22</v>
      </c>
      <c r="D225" t="s">
        <v>29</v>
      </c>
      <c r="E225" t="s">
        <v>779</v>
      </c>
      <c r="F225">
        <v>122503</v>
      </c>
      <c r="G225" t="s">
        <v>77</v>
      </c>
      <c r="H225" t="s">
        <v>1029</v>
      </c>
    </row>
    <row r="226" spans="1:8" x14ac:dyDescent="0.25">
      <c r="A226">
        <v>782</v>
      </c>
      <c r="B226">
        <v>1090</v>
      </c>
      <c r="C226" t="s">
        <v>22</v>
      </c>
      <c r="D226" t="s">
        <v>32</v>
      </c>
      <c r="E226" t="s">
        <v>644</v>
      </c>
      <c r="F226">
        <v>125051</v>
      </c>
      <c r="G226" t="s">
        <v>27</v>
      </c>
      <c r="H226" t="s">
        <v>867</v>
      </c>
    </row>
    <row r="227" spans="1:8" x14ac:dyDescent="0.25">
      <c r="A227">
        <v>425</v>
      </c>
      <c r="B227">
        <v>569</v>
      </c>
      <c r="C227" t="s">
        <v>22</v>
      </c>
      <c r="D227" t="s">
        <v>333</v>
      </c>
      <c r="E227" t="s">
        <v>347</v>
      </c>
      <c r="F227">
        <v>122107</v>
      </c>
      <c r="G227" t="s">
        <v>27</v>
      </c>
      <c r="H227" t="s">
        <v>1030</v>
      </c>
    </row>
    <row r="228" spans="1:8" x14ac:dyDescent="0.25">
      <c r="A228">
        <v>598</v>
      </c>
      <c r="B228">
        <v>537</v>
      </c>
      <c r="C228" t="s">
        <v>22</v>
      </c>
      <c r="D228" t="s">
        <v>140</v>
      </c>
      <c r="E228" t="s">
        <v>505</v>
      </c>
      <c r="F228">
        <v>135001</v>
      </c>
      <c r="G228" t="s">
        <v>30</v>
      </c>
      <c r="H228" t="s">
        <v>1031</v>
      </c>
    </row>
    <row r="229" spans="1:8" x14ac:dyDescent="0.25">
      <c r="A229">
        <v>271</v>
      </c>
      <c r="B229">
        <v>510</v>
      </c>
      <c r="C229" t="s">
        <v>22</v>
      </c>
      <c r="D229" t="s">
        <v>239</v>
      </c>
      <c r="E229" t="s">
        <v>245</v>
      </c>
      <c r="F229">
        <v>136042</v>
      </c>
      <c r="G229" t="s">
        <v>27</v>
      </c>
      <c r="H229" t="s">
        <v>1032</v>
      </c>
    </row>
    <row r="230" spans="1:8" x14ac:dyDescent="0.25">
      <c r="A230">
        <v>705</v>
      </c>
      <c r="B230">
        <v>535</v>
      </c>
      <c r="C230" t="s">
        <v>22</v>
      </c>
      <c r="D230" t="s">
        <v>508</v>
      </c>
      <c r="E230" t="s">
        <v>588</v>
      </c>
      <c r="F230">
        <v>121001</v>
      </c>
      <c r="G230" t="s">
        <v>30</v>
      </c>
      <c r="H230" t="s">
        <v>1033</v>
      </c>
    </row>
    <row r="231" spans="1:8" x14ac:dyDescent="0.25">
      <c r="A231">
        <v>794</v>
      </c>
      <c r="B231">
        <v>1167</v>
      </c>
      <c r="C231" t="s">
        <v>22</v>
      </c>
      <c r="D231" t="s">
        <v>32</v>
      </c>
      <c r="E231" t="s">
        <v>652</v>
      </c>
      <c r="G231" t="s">
        <v>27</v>
      </c>
      <c r="H231" t="s">
        <v>1034</v>
      </c>
    </row>
    <row r="232" spans="1:8" x14ac:dyDescent="0.25">
      <c r="A232">
        <v>416</v>
      </c>
      <c r="B232">
        <v>582</v>
      </c>
      <c r="C232" t="s">
        <v>22</v>
      </c>
      <c r="D232" t="s">
        <v>333</v>
      </c>
      <c r="E232" t="s">
        <v>337</v>
      </c>
      <c r="F232">
        <v>122508</v>
      </c>
      <c r="G232" t="s">
        <v>24</v>
      </c>
      <c r="H232" t="s">
        <v>1035</v>
      </c>
    </row>
    <row r="233" spans="1:8" x14ac:dyDescent="0.25">
      <c r="A233">
        <v>678</v>
      </c>
      <c r="B233">
        <v>536</v>
      </c>
      <c r="C233" t="s">
        <v>22</v>
      </c>
      <c r="D233" t="s">
        <v>536</v>
      </c>
      <c r="E233" t="s">
        <v>562</v>
      </c>
      <c r="F233">
        <v>124001</v>
      </c>
      <c r="G233" t="s">
        <v>30</v>
      </c>
      <c r="H233" t="s">
        <v>848</v>
      </c>
    </row>
    <row r="234" spans="1:8" x14ac:dyDescent="0.25">
      <c r="A234">
        <v>612</v>
      </c>
      <c r="B234">
        <v>417</v>
      </c>
      <c r="C234" t="s">
        <v>22</v>
      </c>
      <c r="D234" t="s">
        <v>140</v>
      </c>
      <c r="E234" t="s">
        <v>520</v>
      </c>
      <c r="F234">
        <v>135001</v>
      </c>
      <c r="G234" t="s">
        <v>30</v>
      </c>
      <c r="H234" t="s">
        <v>1036</v>
      </c>
    </row>
    <row r="235" spans="1:8" x14ac:dyDescent="0.25">
      <c r="A235">
        <v>605</v>
      </c>
      <c r="B235">
        <v>556</v>
      </c>
      <c r="C235" t="s">
        <v>22</v>
      </c>
      <c r="D235" t="s">
        <v>140</v>
      </c>
      <c r="E235" t="s">
        <v>514</v>
      </c>
      <c r="F235">
        <v>135001</v>
      </c>
      <c r="G235" t="s">
        <v>30</v>
      </c>
      <c r="H235" t="s">
        <v>1037</v>
      </c>
    </row>
    <row r="236" spans="1:8" x14ac:dyDescent="0.25">
      <c r="A236">
        <v>424</v>
      </c>
      <c r="B236">
        <v>570</v>
      </c>
      <c r="C236" t="s">
        <v>22</v>
      </c>
      <c r="D236" t="s">
        <v>333</v>
      </c>
      <c r="E236" t="s">
        <v>346</v>
      </c>
      <c r="F236">
        <v>122107</v>
      </c>
      <c r="G236" t="s">
        <v>27</v>
      </c>
      <c r="H236" t="s">
        <v>1038</v>
      </c>
    </row>
    <row r="237" spans="1:8" x14ac:dyDescent="0.25">
      <c r="A237">
        <v>666</v>
      </c>
      <c r="B237">
        <v>602</v>
      </c>
      <c r="C237" t="s">
        <v>22</v>
      </c>
      <c r="D237" t="s">
        <v>536</v>
      </c>
      <c r="E237" t="s">
        <v>552</v>
      </c>
      <c r="F237">
        <v>124001</v>
      </c>
      <c r="G237" t="s">
        <v>30</v>
      </c>
      <c r="H237" t="s">
        <v>1039</v>
      </c>
    </row>
    <row r="238" spans="1:8" x14ac:dyDescent="0.25">
      <c r="A238">
        <v>594</v>
      </c>
      <c r="B238">
        <v>554</v>
      </c>
      <c r="C238" t="s">
        <v>22</v>
      </c>
      <c r="D238" t="s">
        <v>140</v>
      </c>
      <c r="E238" t="s">
        <v>501</v>
      </c>
      <c r="F238">
        <v>135002</v>
      </c>
      <c r="G238" t="s">
        <v>30</v>
      </c>
      <c r="H238" t="s">
        <v>1040</v>
      </c>
    </row>
    <row r="239" spans="1:8" x14ac:dyDescent="0.25">
      <c r="A239">
        <v>287</v>
      </c>
      <c r="B239">
        <v>694</v>
      </c>
      <c r="C239" t="s">
        <v>22</v>
      </c>
      <c r="D239" t="s">
        <v>254</v>
      </c>
      <c r="E239" t="s">
        <v>263</v>
      </c>
      <c r="F239">
        <v>132024</v>
      </c>
      <c r="G239" t="s">
        <v>24</v>
      </c>
      <c r="H239" t="s">
        <v>841</v>
      </c>
    </row>
    <row r="240" spans="1:8" x14ac:dyDescent="0.25">
      <c r="A240">
        <v>628</v>
      </c>
      <c r="B240">
        <v>698</v>
      </c>
      <c r="C240" t="s">
        <v>22</v>
      </c>
      <c r="D240" t="s">
        <v>440</v>
      </c>
      <c r="E240" t="s">
        <v>533</v>
      </c>
      <c r="F240">
        <v>123412</v>
      </c>
      <c r="G240" t="s">
        <v>27</v>
      </c>
      <c r="H240" t="s">
        <v>1041</v>
      </c>
    </row>
    <row r="241" spans="1:8" x14ac:dyDescent="0.25">
      <c r="A241">
        <v>629</v>
      </c>
      <c r="B241">
        <v>696</v>
      </c>
      <c r="C241" t="s">
        <v>22</v>
      </c>
      <c r="D241" t="s">
        <v>440</v>
      </c>
      <c r="E241" t="s">
        <v>534</v>
      </c>
      <c r="F241">
        <v>123106</v>
      </c>
      <c r="G241" t="s">
        <v>27</v>
      </c>
      <c r="H241" t="s">
        <v>1042</v>
      </c>
    </row>
    <row r="242" spans="1:8" x14ac:dyDescent="0.25">
      <c r="A242">
        <v>428</v>
      </c>
      <c r="B242">
        <v>584</v>
      </c>
      <c r="C242" t="s">
        <v>22</v>
      </c>
      <c r="D242" t="s">
        <v>333</v>
      </c>
      <c r="E242" t="s">
        <v>350</v>
      </c>
      <c r="F242">
        <v>122508</v>
      </c>
      <c r="G242" t="s">
        <v>27</v>
      </c>
      <c r="H242" t="s">
        <v>1043</v>
      </c>
    </row>
    <row r="243" spans="1:8" x14ac:dyDescent="0.25">
      <c r="A243">
        <v>604</v>
      </c>
      <c r="B243">
        <v>626</v>
      </c>
      <c r="C243" t="s">
        <v>22</v>
      </c>
      <c r="D243" t="s">
        <v>140</v>
      </c>
      <c r="E243" t="s">
        <v>513</v>
      </c>
      <c r="F243">
        <v>135001</v>
      </c>
      <c r="G243" t="s">
        <v>30</v>
      </c>
      <c r="H243" t="s">
        <v>1044</v>
      </c>
    </row>
    <row r="244" spans="1:8" x14ac:dyDescent="0.25">
      <c r="A244">
        <v>414</v>
      </c>
      <c r="B244">
        <v>581</v>
      </c>
      <c r="C244" t="s">
        <v>22</v>
      </c>
      <c r="D244" t="s">
        <v>333</v>
      </c>
      <c r="E244" t="s">
        <v>334</v>
      </c>
      <c r="F244">
        <v>122107</v>
      </c>
      <c r="G244" t="s">
        <v>24</v>
      </c>
      <c r="H244" t="s">
        <v>1045</v>
      </c>
    </row>
    <row r="245" spans="1:8" x14ac:dyDescent="0.25">
      <c r="A245">
        <v>118</v>
      </c>
      <c r="B245">
        <v>835</v>
      </c>
      <c r="C245" t="s">
        <v>22</v>
      </c>
      <c r="D245" t="s">
        <v>42</v>
      </c>
      <c r="E245" t="s">
        <v>75</v>
      </c>
      <c r="F245">
        <v>125006</v>
      </c>
      <c r="G245" t="s">
        <v>27</v>
      </c>
      <c r="H245" t="s">
        <v>924</v>
      </c>
    </row>
    <row r="246" spans="1:8" x14ac:dyDescent="0.25">
      <c r="A246">
        <v>880</v>
      </c>
      <c r="B246">
        <v>714</v>
      </c>
      <c r="C246" t="s">
        <v>1046</v>
      </c>
      <c r="D246" t="s">
        <v>23</v>
      </c>
      <c r="E246" t="s">
        <v>725</v>
      </c>
      <c r="F246">
        <v>600038</v>
      </c>
      <c r="G246" t="s">
        <v>30</v>
      </c>
      <c r="H246" t="s">
        <v>1047</v>
      </c>
    </row>
    <row r="247" spans="1:8" x14ac:dyDescent="0.25">
      <c r="A247">
        <v>813</v>
      </c>
      <c r="B247">
        <v>589</v>
      </c>
      <c r="C247" t="s">
        <v>22</v>
      </c>
      <c r="D247" t="s">
        <v>453</v>
      </c>
      <c r="E247" t="s">
        <v>671</v>
      </c>
      <c r="F247">
        <v>125055</v>
      </c>
      <c r="G247" t="s">
        <v>30</v>
      </c>
      <c r="H247" t="s">
        <v>1048</v>
      </c>
    </row>
    <row r="248" spans="1:8" x14ac:dyDescent="0.25">
      <c r="A248">
        <v>661</v>
      </c>
      <c r="B248">
        <v>505</v>
      </c>
      <c r="C248" t="s">
        <v>22</v>
      </c>
      <c r="D248" t="s">
        <v>536</v>
      </c>
      <c r="E248" t="s">
        <v>548</v>
      </c>
      <c r="F248">
        <v>124001</v>
      </c>
      <c r="G248" t="s">
        <v>30</v>
      </c>
      <c r="H248" t="s">
        <v>1049</v>
      </c>
    </row>
    <row r="249" spans="1:8" x14ac:dyDescent="0.25">
      <c r="A249">
        <v>811</v>
      </c>
      <c r="B249">
        <v>665</v>
      </c>
      <c r="C249" t="s">
        <v>22</v>
      </c>
      <c r="D249" t="s">
        <v>453</v>
      </c>
      <c r="E249" t="s">
        <v>669</v>
      </c>
      <c r="F249">
        <v>125104</v>
      </c>
      <c r="G249" t="s">
        <v>30</v>
      </c>
      <c r="H249" t="s">
        <v>1050</v>
      </c>
    </row>
    <row r="250" spans="1:8" x14ac:dyDescent="0.25">
      <c r="A250">
        <v>718</v>
      </c>
      <c r="B250">
        <v>375</v>
      </c>
      <c r="C250" t="s">
        <v>22</v>
      </c>
      <c r="D250" t="s">
        <v>239</v>
      </c>
      <c r="E250" t="s">
        <v>598</v>
      </c>
      <c r="G250" t="s">
        <v>62</v>
      </c>
      <c r="H250" t="s">
        <v>1051</v>
      </c>
    </row>
    <row r="251" spans="1:8" x14ac:dyDescent="0.25">
      <c r="A251">
        <v>841</v>
      </c>
      <c r="B251">
        <v>671</v>
      </c>
      <c r="C251" t="s">
        <v>22</v>
      </c>
      <c r="D251" t="s">
        <v>453</v>
      </c>
      <c r="E251" t="s">
        <v>699</v>
      </c>
      <c r="F251">
        <v>125055</v>
      </c>
      <c r="G251" t="s">
        <v>30</v>
      </c>
      <c r="H251" t="s">
        <v>1052</v>
      </c>
    </row>
    <row r="252" spans="1:8" x14ac:dyDescent="0.25">
      <c r="A252">
        <v>436</v>
      </c>
      <c r="B252">
        <v>587</v>
      </c>
      <c r="C252" t="s">
        <v>22</v>
      </c>
      <c r="D252" t="s">
        <v>333</v>
      </c>
      <c r="E252" t="s">
        <v>359</v>
      </c>
      <c r="F252">
        <v>122105</v>
      </c>
      <c r="G252" t="s">
        <v>27</v>
      </c>
      <c r="H252" t="s">
        <v>1053</v>
      </c>
    </row>
    <row r="253" spans="1:8" x14ac:dyDescent="0.25">
      <c r="A253">
        <v>429</v>
      </c>
      <c r="B253">
        <v>583</v>
      </c>
      <c r="C253" t="s">
        <v>22</v>
      </c>
      <c r="D253" t="s">
        <v>333</v>
      </c>
      <c r="E253" t="s">
        <v>351</v>
      </c>
      <c r="F253">
        <v>122508</v>
      </c>
      <c r="G253" t="s">
        <v>27</v>
      </c>
      <c r="H253" t="s">
        <v>1054</v>
      </c>
    </row>
    <row r="254" spans="1:8" x14ac:dyDescent="0.25">
      <c r="A254">
        <v>730</v>
      </c>
      <c r="B254">
        <v>523</v>
      </c>
      <c r="C254" t="s">
        <v>22</v>
      </c>
      <c r="D254" t="s">
        <v>239</v>
      </c>
      <c r="E254" t="s">
        <v>610</v>
      </c>
      <c r="G254" t="s">
        <v>27</v>
      </c>
      <c r="H254" t="s">
        <v>853</v>
      </c>
    </row>
    <row r="255" spans="1:8" x14ac:dyDescent="0.25">
      <c r="A255">
        <v>731</v>
      </c>
      <c r="B255">
        <v>688</v>
      </c>
      <c r="C255" t="s">
        <v>22</v>
      </c>
      <c r="D255" t="s">
        <v>239</v>
      </c>
      <c r="E255" t="s">
        <v>611</v>
      </c>
      <c r="F255">
        <v>136027</v>
      </c>
      <c r="G255" t="s">
        <v>30</v>
      </c>
      <c r="H255" t="s">
        <v>858</v>
      </c>
    </row>
    <row r="256" spans="1:8" x14ac:dyDescent="0.25">
      <c r="A256">
        <v>269</v>
      </c>
      <c r="B256">
        <v>614</v>
      </c>
      <c r="C256" t="s">
        <v>22</v>
      </c>
      <c r="D256" t="s">
        <v>239</v>
      </c>
      <c r="E256" t="s">
        <v>243</v>
      </c>
      <c r="F256">
        <v>136021</v>
      </c>
      <c r="G256" t="s">
        <v>24</v>
      </c>
      <c r="H256" t="s">
        <v>1055</v>
      </c>
    </row>
    <row r="257" spans="1:8" x14ac:dyDescent="0.25">
      <c r="A257">
        <v>726</v>
      </c>
      <c r="B257">
        <v>759</v>
      </c>
      <c r="C257" t="s">
        <v>22</v>
      </c>
      <c r="D257" t="s">
        <v>239</v>
      </c>
      <c r="E257" t="s">
        <v>606</v>
      </c>
      <c r="F257">
        <v>136033</v>
      </c>
      <c r="G257" t="s">
        <v>27</v>
      </c>
      <c r="H257" t="s">
        <v>841</v>
      </c>
    </row>
    <row r="258" spans="1:8" x14ac:dyDescent="0.25">
      <c r="A258">
        <v>585</v>
      </c>
      <c r="B258">
        <v>612</v>
      </c>
      <c r="C258" t="s">
        <v>22</v>
      </c>
      <c r="D258" t="s">
        <v>140</v>
      </c>
      <c r="E258" t="s">
        <v>494</v>
      </c>
      <c r="F258">
        <v>135003</v>
      </c>
      <c r="G258" t="s">
        <v>30</v>
      </c>
      <c r="H258" t="s">
        <v>956</v>
      </c>
    </row>
    <row r="259" spans="1:8" x14ac:dyDescent="0.25">
      <c r="A259">
        <v>668</v>
      </c>
      <c r="B259">
        <v>512</v>
      </c>
      <c r="C259" t="s">
        <v>22</v>
      </c>
      <c r="D259" t="s">
        <v>536</v>
      </c>
      <c r="E259" t="s">
        <v>554</v>
      </c>
      <c r="F259">
        <v>124001</v>
      </c>
      <c r="G259" t="s">
        <v>30</v>
      </c>
      <c r="H259" t="s">
        <v>874</v>
      </c>
    </row>
    <row r="260" spans="1:8" x14ac:dyDescent="0.25">
      <c r="A260">
        <v>420</v>
      </c>
      <c r="B260">
        <v>580</v>
      </c>
      <c r="C260" t="s">
        <v>22</v>
      </c>
      <c r="D260" t="s">
        <v>333</v>
      </c>
      <c r="E260" t="s">
        <v>342</v>
      </c>
      <c r="F260">
        <v>122104</v>
      </c>
      <c r="G260" t="s">
        <v>27</v>
      </c>
      <c r="H260" t="s">
        <v>1045</v>
      </c>
    </row>
    <row r="261" spans="1:8" x14ac:dyDescent="0.25">
      <c r="A261">
        <v>592</v>
      </c>
      <c r="B261">
        <v>599</v>
      </c>
      <c r="C261" t="s">
        <v>22</v>
      </c>
      <c r="D261" t="s">
        <v>140</v>
      </c>
      <c r="E261" t="s">
        <v>499</v>
      </c>
      <c r="F261">
        <v>135003</v>
      </c>
      <c r="G261" t="s">
        <v>30</v>
      </c>
      <c r="H261" t="s">
        <v>1056</v>
      </c>
    </row>
    <row r="262" spans="1:8" x14ac:dyDescent="0.25">
      <c r="A262">
        <v>657</v>
      </c>
      <c r="B262">
        <v>563</v>
      </c>
      <c r="C262" t="s">
        <v>22</v>
      </c>
      <c r="D262" t="s">
        <v>536</v>
      </c>
      <c r="E262" t="s">
        <v>544</v>
      </c>
      <c r="F262">
        <v>124001</v>
      </c>
      <c r="G262" t="s">
        <v>30</v>
      </c>
      <c r="H262" t="s">
        <v>1057</v>
      </c>
    </row>
    <row r="263" spans="1:8" x14ac:dyDescent="0.25">
      <c r="A263">
        <v>460</v>
      </c>
      <c r="B263">
        <v>345</v>
      </c>
      <c r="C263" t="s">
        <v>22</v>
      </c>
      <c r="D263" t="s">
        <v>367</v>
      </c>
      <c r="E263" t="s">
        <v>372</v>
      </c>
      <c r="F263">
        <v>132145</v>
      </c>
      <c r="G263" t="s">
        <v>24</v>
      </c>
      <c r="H263" t="s">
        <v>1058</v>
      </c>
    </row>
    <row r="264" spans="1:8" x14ac:dyDescent="0.25">
      <c r="A264">
        <v>816</v>
      </c>
      <c r="B264">
        <v>645</v>
      </c>
      <c r="C264" t="s">
        <v>22</v>
      </c>
      <c r="D264" t="s">
        <v>453</v>
      </c>
      <c r="E264" t="s">
        <v>674</v>
      </c>
      <c r="F264">
        <v>125055</v>
      </c>
      <c r="G264" t="s">
        <v>30</v>
      </c>
      <c r="H264" t="s">
        <v>1059</v>
      </c>
    </row>
    <row r="265" spans="1:8" x14ac:dyDescent="0.25">
      <c r="A265">
        <v>581</v>
      </c>
      <c r="B265">
        <v>609</v>
      </c>
      <c r="C265" t="s">
        <v>22</v>
      </c>
      <c r="D265" t="s">
        <v>140</v>
      </c>
      <c r="E265" t="s">
        <v>490</v>
      </c>
      <c r="F265">
        <v>135003</v>
      </c>
      <c r="G265" t="s">
        <v>30</v>
      </c>
      <c r="H265" t="s">
        <v>1060</v>
      </c>
    </row>
    <row r="266" spans="1:8" x14ac:dyDescent="0.25">
      <c r="A266">
        <v>273</v>
      </c>
      <c r="B266">
        <v>538</v>
      </c>
      <c r="C266" t="s">
        <v>22</v>
      </c>
      <c r="D266" t="s">
        <v>239</v>
      </c>
      <c r="E266" t="s">
        <v>247</v>
      </c>
      <c r="F266">
        <v>136027</v>
      </c>
      <c r="G266" t="s">
        <v>27</v>
      </c>
      <c r="H266" t="s">
        <v>858</v>
      </c>
    </row>
    <row r="267" spans="1:8" x14ac:dyDescent="0.25">
      <c r="A267">
        <v>100</v>
      </c>
      <c r="B267">
        <v>484</v>
      </c>
      <c r="C267" t="s">
        <v>22</v>
      </c>
      <c r="D267" t="s">
        <v>29</v>
      </c>
      <c r="E267" t="s">
        <v>1061</v>
      </c>
      <c r="F267">
        <v>122505</v>
      </c>
      <c r="G267" t="s">
        <v>30</v>
      </c>
      <c r="H267" t="s">
        <v>1062</v>
      </c>
    </row>
    <row r="268" spans="1:8" x14ac:dyDescent="0.25">
      <c r="A268">
        <v>430</v>
      </c>
      <c r="B268">
        <v>591</v>
      </c>
      <c r="C268" t="s">
        <v>22</v>
      </c>
      <c r="D268" t="s">
        <v>333</v>
      </c>
      <c r="E268" t="s">
        <v>353</v>
      </c>
      <c r="F268">
        <v>122508</v>
      </c>
      <c r="G268" t="s">
        <v>27</v>
      </c>
      <c r="H268" t="s">
        <v>924</v>
      </c>
    </row>
    <row r="269" spans="1:8" x14ac:dyDescent="0.25">
      <c r="A269">
        <v>679</v>
      </c>
      <c r="B269">
        <v>618</v>
      </c>
      <c r="C269" t="s">
        <v>22</v>
      </c>
      <c r="D269" t="s">
        <v>536</v>
      </c>
      <c r="E269" t="s">
        <v>563</v>
      </c>
      <c r="F269">
        <v>124001</v>
      </c>
      <c r="G269" t="s">
        <v>30</v>
      </c>
      <c r="H269" t="s">
        <v>1063</v>
      </c>
    </row>
    <row r="270" spans="1:8" x14ac:dyDescent="0.25">
      <c r="A270">
        <v>188</v>
      </c>
      <c r="B270">
        <v>804</v>
      </c>
      <c r="C270" t="s">
        <v>22</v>
      </c>
      <c r="D270" t="s">
        <v>140</v>
      </c>
      <c r="E270" t="s">
        <v>155</v>
      </c>
      <c r="F270">
        <v>135133</v>
      </c>
      <c r="G270" t="s">
        <v>27</v>
      </c>
      <c r="H270" t="s">
        <v>1064</v>
      </c>
    </row>
    <row r="271" spans="1:8" x14ac:dyDescent="0.25">
      <c r="A271">
        <v>833</v>
      </c>
      <c r="B271">
        <v>658</v>
      </c>
      <c r="C271" t="s">
        <v>22</v>
      </c>
      <c r="D271" t="s">
        <v>453</v>
      </c>
      <c r="E271" t="s">
        <v>690</v>
      </c>
      <c r="F271">
        <v>125055</v>
      </c>
      <c r="G271" t="s">
        <v>30</v>
      </c>
      <c r="H271" t="s">
        <v>1065</v>
      </c>
    </row>
    <row r="272" spans="1:8" x14ac:dyDescent="0.25">
      <c r="A272">
        <v>98</v>
      </c>
      <c r="B272">
        <v>620</v>
      </c>
      <c r="C272" t="s">
        <v>22</v>
      </c>
      <c r="D272" t="s">
        <v>29</v>
      </c>
      <c r="E272" t="s">
        <v>817</v>
      </c>
      <c r="F272">
        <v>122018</v>
      </c>
      <c r="G272" t="s">
        <v>30</v>
      </c>
      <c r="H272" t="s">
        <v>1066</v>
      </c>
    </row>
    <row r="273" spans="1:8" x14ac:dyDescent="0.25">
      <c r="A273">
        <v>418</v>
      </c>
      <c r="B273">
        <v>576</v>
      </c>
      <c r="C273" t="s">
        <v>22</v>
      </c>
      <c r="D273" t="s">
        <v>333</v>
      </c>
      <c r="E273" t="s">
        <v>339</v>
      </c>
      <c r="F273">
        <v>122104</v>
      </c>
      <c r="G273" t="s">
        <v>24</v>
      </c>
      <c r="H273" t="s">
        <v>1067</v>
      </c>
    </row>
    <row r="274" spans="1:8" x14ac:dyDescent="0.25">
      <c r="A274">
        <v>838</v>
      </c>
      <c r="B274">
        <v>651</v>
      </c>
      <c r="C274" t="s">
        <v>22</v>
      </c>
      <c r="D274" t="s">
        <v>453</v>
      </c>
      <c r="E274" t="s">
        <v>695</v>
      </c>
      <c r="F274">
        <v>125055</v>
      </c>
      <c r="G274" t="s">
        <v>30</v>
      </c>
      <c r="H274" t="s">
        <v>1068</v>
      </c>
    </row>
    <row r="275" spans="1:8" x14ac:dyDescent="0.25">
      <c r="A275">
        <v>810</v>
      </c>
      <c r="B275">
        <v>660</v>
      </c>
      <c r="C275" t="s">
        <v>22</v>
      </c>
      <c r="D275" t="s">
        <v>453</v>
      </c>
      <c r="E275" t="s">
        <v>668</v>
      </c>
      <c r="F275">
        <v>125055</v>
      </c>
      <c r="G275" t="s">
        <v>30</v>
      </c>
      <c r="H275" t="s">
        <v>877</v>
      </c>
    </row>
    <row r="276" spans="1:8" x14ac:dyDescent="0.25">
      <c r="A276">
        <v>393</v>
      </c>
      <c r="B276">
        <v>1070</v>
      </c>
      <c r="C276" t="s">
        <v>22</v>
      </c>
      <c r="D276" t="s">
        <v>325</v>
      </c>
      <c r="E276" t="s">
        <v>331</v>
      </c>
      <c r="G276" t="s">
        <v>62</v>
      </c>
      <c r="H276" t="s">
        <v>990</v>
      </c>
    </row>
    <row r="277" spans="1:8" x14ac:dyDescent="0.25">
      <c r="A277">
        <v>724</v>
      </c>
      <c r="B277">
        <v>578</v>
      </c>
      <c r="C277" t="s">
        <v>22</v>
      </c>
      <c r="D277" t="s">
        <v>239</v>
      </c>
      <c r="E277" t="s">
        <v>604</v>
      </c>
      <c r="G277" t="s">
        <v>27</v>
      </c>
      <c r="H277" t="s">
        <v>841</v>
      </c>
    </row>
    <row r="278" spans="1:8" x14ac:dyDescent="0.25">
      <c r="A278">
        <v>815</v>
      </c>
      <c r="B278">
        <v>642</v>
      </c>
      <c r="C278" t="s">
        <v>22</v>
      </c>
      <c r="D278" t="s">
        <v>453</v>
      </c>
      <c r="E278" t="s">
        <v>673</v>
      </c>
      <c r="F278">
        <v>125055</v>
      </c>
      <c r="G278" t="s">
        <v>30</v>
      </c>
      <c r="H278" t="s">
        <v>874</v>
      </c>
    </row>
    <row r="279" spans="1:8" x14ac:dyDescent="0.25">
      <c r="A279">
        <v>746</v>
      </c>
      <c r="B279">
        <v>519</v>
      </c>
      <c r="C279" t="s">
        <v>22</v>
      </c>
      <c r="D279" t="s">
        <v>239</v>
      </c>
      <c r="E279" t="s">
        <v>625</v>
      </c>
      <c r="G279" t="s">
        <v>24</v>
      </c>
      <c r="H279" t="s">
        <v>1069</v>
      </c>
    </row>
    <row r="280" spans="1:8" x14ac:dyDescent="0.25">
      <c r="A280">
        <v>151</v>
      </c>
      <c r="B280">
        <v>829</v>
      </c>
      <c r="C280" t="s">
        <v>22</v>
      </c>
      <c r="D280" t="s">
        <v>42</v>
      </c>
      <c r="E280" t="s">
        <v>129</v>
      </c>
      <c r="F280">
        <v>125001</v>
      </c>
      <c r="G280" t="s">
        <v>125</v>
      </c>
      <c r="H280" t="s">
        <v>1070</v>
      </c>
    </row>
    <row r="281" spans="1:8" x14ac:dyDescent="0.25">
      <c r="A281">
        <v>277</v>
      </c>
      <c r="B281">
        <v>539</v>
      </c>
      <c r="C281" t="s">
        <v>22</v>
      </c>
      <c r="D281" t="s">
        <v>239</v>
      </c>
      <c r="E281" t="s">
        <v>251</v>
      </c>
      <c r="F281">
        <v>136042</v>
      </c>
      <c r="G281" t="s">
        <v>27</v>
      </c>
      <c r="H281" t="s">
        <v>1071</v>
      </c>
    </row>
    <row r="282" spans="1:8" x14ac:dyDescent="0.25">
      <c r="A282">
        <v>611</v>
      </c>
      <c r="B282">
        <v>637</v>
      </c>
      <c r="C282" t="s">
        <v>22</v>
      </c>
      <c r="D282" t="s">
        <v>140</v>
      </c>
      <c r="E282" t="s">
        <v>519</v>
      </c>
      <c r="F282">
        <v>135001</v>
      </c>
      <c r="G282" t="s">
        <v>30</v>
      </c>
      <c r="H282" t="s">
        <v>1072</v>
      </c>
    </row>
    <row r="283" spans="1:8" x14ac:dyDescent="0.25">
      <c r="A283">
        <v>4</v>
      </c>
      <c r="B283">
        <v>767</v>
      </c>
      <c r="C283" t="s">
        <v>22</v>
      </c>
      <c r="D283" t="s">
        <v>23</v>
      </c>
      <c r="E283" t="s">
        <v>332</v>
      </c>
      <c r="F283">
        <v>133201</v>
      </c>
      <c r="G283" t="s">
        <v>24</v>
      </c>
      <c r="H283" t="s">
        <v>1073</v>
      </c>
    </row>
    <row r="284" spans="1:8" x14ac:dyDescent="0.25">
      <c r="A284">
        <v>534</v>
      </c>
      <c r="B284">
        <v>756</v>
      </c>
      <c r="C284" t="s">
        <v>22</v>
      </c>
      <c r="D284" t="s">
        <v>440</v>
      </c>
      <c r="E284" t="s">
        <v>445</v>
      </c>
      <c r="F284">
        <v>123501</v>
      </c>
      <c r="G284" t="s">
        <v>24</v>
      </c>
      <c r="H284" t="s">
        <v>990</v>
      </c>
    </row>
    <row r="285" spans="1:8" x14ac:dyDescent="0.25">
      <c r="A285">
        <v>257</v>
      </c>
      <c r="B285">
        <v>616</v>
      </c>
      <c r="C285" t="s">
        <v>22</v>
      </c>
      <c r="D285" t="s">
        <v>195</v>
      </c>
      <c r="E285" t="s">
        <v>1074</v>
      </c>
      <c r="G285" t="s">
        <v>30</v>
      </c>
      <c r="H285" t="s">
        <v>1075</v>
      </c>
    </row>
    <row r="286" spans="1:8" x14ac:dyDescent="0.25">
      <c r="A286">
        <v>472</v>
      </c>
      <c r="B286">
        <v>488</v>
      </c>
      <c r="C286" t="s">
        <v>22</v>
      </c>
      <c r="D286" t="s">
        <v>367</v>
      </c>
      <c r="E286" t="s">
        <v>385</v>
      </c>
      <c r="F286">
        <v>132122</v>
      </c>
      <c r="G286" t="s">
        <v>27</v>
      </c>
      <c r="H286" t="s">
        <v>1076</v>
      </c>
    </row>
    <row r="287" spans="1:8" x14ac:dyDescent="0.25">
      <c r="A287">
        <v>725</v>
      </c>
      <c r="B287">
        <v>598</v>
      </c>
      <c r="C287" t="s">
        <v>22</v>
      </c>
      <c r="D287" t="s">
        <v>239</v>
      </c>
      <c r="E287" t="s">
        <v>605</v>
      </c>
      <c r="G287" t="s">
        <v>27</v>
      </c>
      <c r="H287" t="s">
        <v>1077</v>
      </c>
    </row>
    <row r="288" spans="1:8" x14ac:dyDescent="0.25">
      <c r="A288">
        <v>670</v>
      </c>
      <c r="B288">
        <v>639</v>
      </c>
      <c r="C288" t="s">
        <v>22</v>
      </c>
      <c r="D288" t="s">
        <v>536</v>
      </c>
      <c r="E288" t="s">
        <v>557</v>
      </c>
      <c r="F288">
        <v>124001</v>
      </c>
      <c r="G288" t="s">
        <v>30</v>
      </c>
      <c r="H288" t="s">
        <v>1078</v>
      </c>
    </row>
    <row r="289" spans="1:8" x14ac:dyDescent="0.25">
      <c r="A289">
        <v>867</v>
      </c>
      <c r="B289">
        <v>624</v>
      </c>
      <c r="C289" t="s">
        <v>22</v>
      </c>
      <c r="D289" t="s">
        <v>508</v>
      </c>
      <c r="E289" t="s">
        <v>715</v>
      </c>
      <c r="F289">
        <v>121004</v>
      </c>
      <c r="G289" t="s">
        <v>30</v>
      </c>
      <c r="H289" t="s">
        <v>1079</v>
      </c>
    </row>
    <row r="290" spans="1:8" x14ac:dyDescent="0.25">
      <c r="A290">
        <v>621</v>
      </c>
      <c r="B290">
        <v>704</v>
      </c>
      <c r="C290" t="s">
        <v>22</v>
      </c>
      <c r="D290" t="s">
        <v>440</v>
      </c>
      <c r="E290" t="s">
        <v>526</v>
      </c>
      <c r="F290">
        <v>123411</v>
      </c>
      <c r="G290" t="s">
        <v>27</v>
      </c>
      <c r="H290" t="s">
        <v>990</v>
      </c>
    </row>
    <row r="291" spans="1:8" x14ac:dyDescent="0.25">
      <c r="A291">
        <v>81</v>
      </c>
      <c r="B291">
        <v>307</v>
      </c>
      <c r="C291" t="s">
        <v>22</v>
      </c>
      <c r="D291" t="s">
        <v>29</v>
      </c>
      <c r="E291" t="s">
        <v>667</v>
      </c>
      <c r="G291" t="s">
        <v>30</v>
      </c>
      <c r="H291" t="s">
        <v>1080</v>
      </c>
    </row>
    <row r="292" spans="1:8" x14ac:dyDescent="0.25">
      <c r="A292">
        <v>278</v>
      </c>
      <c r="B292">
        <v>600</v>
      </c>
      <c r="C292" t="s">
        <v>22</v>
      </c>
      <c r="D292" t="s">
        <v>239</v>
      </c>
      <c r="E292" t="s">
        <v>252</v>
      </c>
      <c r="F292">
        <v>136021</v>
      </c>
      <c r="G292" t="s">
        <v>27</v>
      </c>
      <c r="H292" t="s">
        <v>1081</v>
      </c>
    </row>
    <row r="293" spans="1:8" x14ac:dyDescent="0.25">
      <c r="A293">
        <v>276</v>
      </c>
      <c r="B293">
        <v>529</v>
      </c>
      <c r="C293" t="s">
        <v>22</v>
      </c>
      <c r="D293" t="s">
        <v>239</v>
      </c>
      <c r="E293" t="s">
        <v>250</v>
      </c>
      <c r="F293">
        <v>136026</v>
      </c>
      <c r="G293" t="s">
        <v>27</v>
      </c>
      <c r="H293" t="s">
        <v>1082</v>
      </c>
    </row>
    <row r="294" spans="1:8" x14ac:dyDescent="0.25">
      <c r="A294">
        <v>824</v>
      </c>
      <c r="B294">
        <v>594</v>
      </c>
      <c r="C294" t="s">
        <v>22</v>
      </c>
      <c r="D294" t="s">
        <v>453</v>
      </c>
      <c r="E294" t="s">
        <v>680</v>
      </c>
      <c r="F294">
        <v>125055</v>
      </c>
      <c r="G294" t="s">
        <v>30</v>
      </c>
      <c r="H294" t="s">
        <v>1083</v>
      </c>
    </row>
    <row r="295" spans="1:8" x14ac:dyDescent="0.25">
      <c r="A295">
        <v>326</v>
      </c>
      <c r="B295">
        <v>683</v>
      </c>
      <c r="C295" t="s">
        <v>22</v>
      </c>
      <c r="D295" t="s">
        <v>254</v>
      </c>
      <c r="E295" t="s">
        <v>286</v>
      </c>
      <c r="F295">
        <v>132001</v>
      </c>
      <c r="G295" t="s">
        <v>30</v>
      </c>
      <c r="H295" t="s">
        <v>1084</v>
      </c>
    </row>
    <row r="296" spans="1:8" x14ac:dyDescent="0.25">
      <c r="A296">
        <v>302</v>
      </c>
      <c r="B296">
        <v>811</v>
      </c>
      <c r="C296" t="s">
        <v>22</v>
      </c>
      <c r="D296" t="s">
        <v>254</v>
      </c>
      <c r="E296" t="s">
        <v>276</v>
      </c>
      <c r="F296">
        <v>132036</v>
      </c>
      <c r="G296" t="s">
        <v>27</v>
      </c>
      <c r="H296" t="s">
        <v>1085</v>
      </c>
    </row>
    <row r="297" spans="1:8" x14ac:dyDescent="0.25">
      <c r="A297">
        <v>868</v>
      </c>
      <c r="B297">
        <v>636</v>
      </c>
      <c r="C297" t="s">
        <v>22</v>
      </c>
      <c r="D297" t="s">
        <v>29</v>
      </c>
      <c r="E297" t="s">
        <v>1086</v>
      </c>
      <c r="F297">
        <v>122002</v>
      </c>
      <c r="G297" t="s">
        <v>30</v>
      </c>
      <c r="H297" t="s">
        <v>1087</v>
      </c>
    </row>
    <row r="298" spans="1:8" x14ac:dyDescent="0.25">
      <c r="A298">
        <v>218</v>
      </c>
      <c r="B298">
        <v>407</v>
      </c>
      <c r="C298" t="s">
        <v>22</v>
      </c>
      <c r="D298" t="s">
        <v>166</v>
      </c>
      <c r="E298" t="s">
        <v>189</v>
      </c>
      <c r="F298">
        <v>124103</v>
      </c>
      <c r="G298" t="s">
        <v>30</v>
      </c>
      <c r="H298" t="s">
        <v>1088</v>
      </c>
    </row>
    <row r="299" spans="1:8" x14ac:dyDescent="0.25">
      <c r="A299">
        <v>543</v>
      </c>
      <c r="B299">
        <v>846</v>
      </c>
      <c r="C299" t="s">
        <v>22</v>
      </c>
      <c r="D299" t="s">
        <v>453</v>
      </c>
      <c r="E299" t="s">
        <v>457</v>
      </c>
      <c r="F299">
        <v>125055</v>
      </c>
      <c r="G299" t="s">
        <v>24</v>
      </c>
      <c r="H299" t="s">
        <v>1089</v>
      </c>
    </row>
    <row r="300" spans="1:8" x14ac:dyDescent="0.25">
      <c r="A300">
        <v>583</v>
      </c>
      <c r="B300">
        <v>633</v>
      </c>
      <c r="C300" t="s">
        <v>22</v>
      </c>
      <c r="D300" t="s">
        <v>140</v>
      </c>
      <c r="E300" t="s">
        <v>492</v>
      </c>
      <c r="F300">
        <v>135003</v>
      </c>
      <c r="G300" t="s">
        <v>30</v>
      </c>
      <c r="H300" t="s">
        <v>1090</v>
      </c>
    </row>
    <row r="301" spans="1:8" x14ac:dyDescent="0.25">
      <c r="A301">
        <v>97</v>
      </c>
      <c r="B301">
        <v>734</v>
      </c>
      <c r="C301" t="s">
        <v>22</v>
      </c>
      <c r="D301" t="s">
        <v>29</v>
      </c>
      <c r="E301" t="s">
        <v>1091</v>
      </c>
      <c r="G301" t="s">
        <v>30</v>
      </c>
      <c r="H301" t="s">
        <v>1092</v>
      </c>
    </row>
    <row r="302" spans="1:8" x14ac:dyDescent="0.25">
      <c r="A302">
        <v>547</v>
      </c>
      <c r="B302">
        <v>861</v>
      </c>
      <c r="C302" t="s">
        <v>22</v>
      </c>
      <c r="D302" t="s">
        <v>453</v>
      </c>
      <c r="E302" t="s">
        <v>461</v>
      </c>
      <c r="F302">
        <v>125055</v>
      </c>
      <c r="G302" t="s">
        <v>62</v>
      </c>
      <c r="H302" t="s">
        <v>1002</v>
      </c>
    </row>
    <row r="303" spans="1:8" x14ac:dyDescent="0.25">
      <c r="A303">
        <v>2</v>
      </c>
      <c r="B303">
        <v>738</v>
      </c>
      <c r="C303" t="s">
        <v>22</v>
      </c>
      <c r="D303" t="s">
        <v>23</v>
      </c>
      <c r="E303" t="s">
        <v>170</v>
      </c>
      <c r="F303">
        <v>133203</v>
      </c>
      <c r="G303" t="s">
        <v>24</v>
      </c>
      <c r="H303" t="s">
        <v>1093</v>
      </c>
    </row>
    <row r="304" spans="1:8" x14ac:dyDescent="0.25">
      <c r="A304">
        <v>820</v>
      </c>
      <c r="B304">
        <v>619</v>
      </c>
      <c r="C304" t="s">
        <v>22</v>
      </c>
      <c r="D304" t="s">
        <v>453</v>
      </c>
      <c r="E304" t="s">
        <v>676</v>
      </c>
      <c r="F304">
        <v>125055</v>
      </c>
      <c r="G304" t="s">
        <v>30</v>
      </c>
      <c r="H304" t="s">
        <v>874</v>
      </c>
    </row>
    <row r="305" spans="1:8" x14ac:dyDescent="0.25">
      <c r="A305">
        <v>274</v>
      </c>
      <c r="B305">
        <v>534</v>
      </c>
      <c r="C305" t="s">
        <v>22</v>
      </c>
      <c r="D305" t="s">
        <v>239</v>
      </c>
      <c r="E305" t="s">
        <v>248</v>
      </c>
      <c r="F305">
        <v>136043</v>
      </c>
      <c r="G305" t="s">
        <v>27</v>
      </c>
      <c r="H305" t="s">
        <v>1094</v>
      </c>
    </row>
    <row r="306" spans="1:8" x14ac:dyDescent="0.25">
      <c r="A306">
        <v>664</v>
      </c>
      <c r="B306">
        <v>648</v>
      </c>
      <c r="C306" t="s">
        <v>22</v>
      </c>
      <c r="D306" t="s">
        <v>536</v>
      </c>
      <c r="E306" t="s">
        <v>551</v>
      </c>
      <c r="F306">
        <v>124001</v>
      </c>
      <c r="G306" t="s">
        <v>30</v>
      </c>
      <c r="H306" t="s">
        <v>1095</v>
      </c>
    </row>
    <row r="307" spans="1:8" x14ac:dyDescent="0.25">
      <c r="A307">
        <v>955</v>
      </c>
      <c r="B307">
        <v>1017</v>
      </c>
      <c r="C307" t="s">
        <v>22</v>
      </c>
      <c r="D307" t="s">
        <v>328</v>
      </c>
      <c r="E307" t="s">
        <v>795</v>
      </c>
      <c r="F307">
        <v>127040</v>
      </c>
      <c r="G307" t="s">
        <v>27</v>
      </c>
      <c r="H307" t="s">
        <v>858</v>
      </c>
    </row>
    <row r="308" spans="1:8" x14ac:dyDescent="0.25">
      <c r="A308">
        <v>470</v>
      </c>
      <c r="B308">
        <v>674</v>
      </c>
      <c r="C308" t="s">
        <v>22</v>
      </c>
      <c r="D308" t="s">
        <v>367</v>
      </c>
      <c r="E308" t="s">
        <v>383</v>
      </c>
      <c r="F308">
        <v>132107</v>
      </c>
      <c r="G308" t="s">
        <v>27</v>
      </c>
      <c r="H308" t="s">
        <v>1096</v>
      </c>
    </row>
    <row r="309" spans="1:8" x14ac:dyDescent="0.25">
      <c r="A309">
        <v>821</v>
      </c>
      <c r="B309">
        <v>662</v>
      </c>
      <c r="C309" t="s">
        <v>22</v>
      </c>
      <c r="D309" t="s">
        <v>453</v>
      </c>
      <c r="E309" t="s">
        <v>677</v>
      </c>
      <c r="F309">
        <v>125055</v>
      </c>
      <c r="G309" t="s">
        <v>30</v>
      </c>
      <c r="H309" t="s">
        <v>1097</v>
      </c>
    </row>
    <row r="310" spans="1:8" x14ac:dyDescent="0.25">
      <c r="A310">
        <v>311</v>
      </c>
      <c r="B310">
        <v>692</v>
      </c>
      <c r="C310" t="s">
        <v>22</v>
      </c>
      <c r="D310" t="s">
        <v>254</v>
      </c>
      <c r="E310" t="s">
        <v>281</v>
      </c>
      <c r="F310">
        <v>132001</v>
      </c>
      <c r="G310" t="s">
        <v>30</v>
      </c>
      <c r="H310" t="s">
        <v>1098</v>
      </c>
    </row>
    <row r="311" spans="1:8" x14ac:dyDescent="0.25">
      <c r="A311">
        <v>839</v>
      </c>
      <c r="B311">
        <v>654</v>
      </c>
      <c r="C311" t="s">
        <v>22</v>
      </c>
      <c r="D311" t="s">
        <v>453</v>
      </c>
      <c r="E311" t="s">
        <v>696</v>
      </c>
      <c r="F311">
        <v>125055</v>
      </c>
      <c r="G311" t="s">
        <v>30</v>
      </c>
      <c r="H311" t="s">
        <v>1099</v>
      </c>
    </row>
    <row r="312" spans="1:8" x14ac:dyDescent="0.25">
      <c r="A312">
        <v>20</v>
      </c>
      <c r="B312">
        <v>750</v>
      </c>
      <c r="C312" t="s">
        <v>22</v>
      </c>
      <c r="D312" t="s">
        <v>23</v>
      </c>
      <c r="E312" t="s">
        <v>171</v>
      </c>
      <c r="F312">
        <v>134203</v>
      </c>
      <c r="G312" t="s">
        <v>27</v>
      </c>
      <c r="H312" t="s">
        <v>858</v>
      </c>
    </row>
    <row r="313" spans="1:8" x14ac:dyDescent="0.25">
      <c r="A313">
        <v>83</v>
      </c>
      <c r="B313">
        <v>766</v>
      </c>
      <c r="C313" t="s">
        <v>22</v>
      </c>
      <c r="D313" t="s">
        <v>29</v>
      </c>
      <c r="E313" t="s">
        <v>686</v>
      </c>
      <c r="G313" t="s">
        <v>30</v>
      </c>
      <c r="H313" t="s">
        <v>1100</v>
      </c>
    </row>
    <row r="314" spans="1:8" x14ac:dyDescent="0.25">
      <c r="A314">
        <v>466</v>
      </c>
      <c r="B314">
        <v>736</v>
      </c>
      <c r="C314" t="s">
        <v>22</v>
      </c>
      <c r="D314" t="s">
        <v>367</v>
      </c>
      <c r="E314" t="s">
        <v>378</v>
      </c>
      <c r="F314">
        <v>132104</v>
      </c>
      <c r="G314" t="s">
        <v>27</v>
      </c>
      <c r="H314" t="s">
        <v>1101</v>
      </c>
    </row>
    <row r="315" spans="1:8" x14ac:dyDescent="0.25">
      <c r="A315">
        <v>547</v>
      </c>
      <c r="B315">
        <v>862</v>
      </c>
      <c r="C315" t="s">
        <v>22</v>
      </c>
      <c r="D315" t="s">
        <v>453</v>
      </c>
      <c r="E315" t="s">
        <v>461</v>
      </c>
      <c r="F315">
        <v>125055</v>
      </c>
      <c r="G315" t="s">
        <v>62</v>
      </c>
      <c r="H315" t="s">
        <v>1002</v>
      </c>
    </row>
    <row r="316" spans="1:8" x14ac:dyDescent="0.25">
      <c r="A316">
        <v>469</v>
      </c>
      <c r="B316">
        <v>672</v>
      </c>
      <c r="C316" t="s">
        <v>22</v>
      </c>
      <c r="D316" t="s">
        <v>367</v>
      </c>
      <c r="E316" t="s">
        <v>381</v>
      </c>
      <c r="F316">
        <v>132140</v>
      </c>
      <c r="G316" t="s">
        <v>27</v>
      </c>
      <c r="H316" t="s">
        <v>1102</v>
      </c>
    </row>
    <row r="317" spans="1:8" x14ac:dyDescent="0.25">
      <c r="A317">
        <v>467</v>
      </c>
      <c r="B317">
        <v>499</v>
      </c>
      <c r="C317" t="s">
        <v>22</v>
      </c>
      <c r="D317" t="s">
        <v>367</v>
      </c>
      <c r="E317" t="s">
        <v>379</v>
      </c>
      <c r="F317">
        <v>132103</v>
      </c>
      <c r="G317" t="s">
        <v>27</v>
      </c>
      <c r="H317" t="s">
        <v>858</v>
      </c>
    </row>
    <row r="318" spans="1:8" x14ac:dyDescent="0.25">
      <c r="A318">
        <v>619</v>
      </c>
      <c r="B318">
        <v>708</v>
      </c>
      <c r="C318" t="s">
        <v>22</v>
      </c>
      <c r="D318" t="s">
        <v>440</v>
      </c>
      <c r="E318" t="s">
        <v>524</v>
      </c>
      <c r="F318">
        <v>123035</v>
      </c>
      <c r="G318" t="s">
        <v>24</v>
      </c>
      <c r="H318" t="s">
        <v>1103</v>
      </c>
    </row>
    <row r="319" spans="1:8" x14ac:dyDescent="0.25">
      <c r="A319">
        <v>303</v>
      </c>
      <c r="B319">
        <v>681</v>
      </c>
      <c r="C319" t="s">
        <v>22</v>
      </c>
      <c r="D319" t="s">
        <v>254</v>
      </c>
      <c r="E319" t="s">
        <v>277</v>
      </c>
      <c r="F319">
        <v>132046</v>
      </c>
      <c r="G319" t="s">
        <v>27</v>
      </c>
      <c r="H319" t="s">
        <v>1104</v>
      </c>
    </row>
    <row r="320" spans="1:8" x14ac:dyDescent="0.25">
      <c r="A320">
        <v>328</v>
      </c>
      <c r="B320">
        <v>677</v>
      </c>
      <c r="C320" t="s">
        <v>22</v>
      </c>
      <c r="D320" t="s">
        <v>254</v>
      </c>
      <c r="E320" t="s">
        <v>287</v>
      </c>
      <c r="F320">
        <v>132001</v>
      </c>
      <c r="G320" t="s">
        <v>30</v>
      </c>
      <c r="H320" t="s">
        <v>1105</v>
      </c>
    </row>
    <row r="321" spans="1:8" x14ac:dyDescent="0.25">
      <c r="A321">
        <v>904</v>
      </c>
      <c r="B321">
        <v>1166</v>
      </c>
      <c r="C321" t="s">
        <v>22</v>
      </c>
      <c r="D321" t="s">
        <v>23</v>
      </c>
      <c r="E321" t="s">
        <v>746</v>
      </c>
      <c r="F321">
        <v>133001</v>
      </c>
      <c r="G321" t="s">
        <v>30</v>
      </c>
      <c r="H321" t="s">
        <v>1106</v>
      </c>
    </row>
    <row r="322" spans="1:8" x14ac:dyDescent="0.25">
      <c r="A322">
        <v>336</v>
      </c>
      <c r="B322">
        <v>693</v>
      </c>
      <c r="C322" t="s">
        <v>22</v>
      </c>
      <c r="D322" t="s">
        <v>254</v>
      </c>
      <c r="E322" t="s">
        <v>289</v>
      </c>
      <c r="F322">
        <v>132001</v>
      </c>
      <c r="G322" t="s">
        <v>30</v>
      </c>
      <c r="H322" t="s">
        <v>1107</v>
      </c>
    </row>
    <row r="323" spans="1:8" x14ac:dyDescent="0.25">
      <c r="A323">
        <v>110</v>
      </c>
      <c r="B323">
        <v>653</v>
      </c>
      <c r="C323" t="s">
        <v>22</v>
      </c>
      <c r="D323" t="s">
        <v>42</v>
      </c>
      <c r="E323" t="s">
        <v>63</v>
      </c>
      <c r="F323">
        <v>125001</v>
      </c>
      <c r="G323" t="s">
        <v>62</v>
      </c>
      <c r="H323" t="s">
        <v>1108</v>
      </c>
    </row>
    <row r="324" spans="1:8" x14ac:dyDescent="0.25">
      <c r="A324">
        <v>17</v>
      </c>
      <c r="B324">
        <v>903</v>
      </c>
      <c r="C324" t="s">
        <v>22</v>
      </c>
      <c r="D324" t="s">
        <v>23</v>
      </c>
      <c r="E324" t="s">
        <v>137</v>
      </c>
      <c r="F324">
        <v>133102</v>
      </c>
      <c r="G324" t="s">
        <v>27</v>
      </c>
      <c r="H324" t="s">
        <v>848</v>
      </c>
    </row>
    <row r="325" spans="1:8" x14ac:dyDescent="0.25">
      <c r="A325">
        <v>18</v>
      </c>
      <c r="B325">
        <v>777</v>
      </c>
      <c r="C325" t="s">
        <v>22</v>
      </c>
      <c r="D325" t="s">
        <v>23</v>
      </c>
      <c r="E325" t="s">
        <v>146</v>
      </c>
      <c r="F325">
        <v>133205</v>
      </c>
      <c r="G325" t="s">
        <v>27</v>
      </c>
      <c r="H325" t="s">
        <v>848</v>
      </c>
    </row>
    <row r="326" spans="1:8" x14ac:dyDescent="0.25">
      <c r="A326">
        <v>999</v>
      </c>
      <c r="B326">
        <v>1106</v>
      </c>
      <c r="C326" t="s">
        <v>22</v>
      </c>
      <c r="D326" t="s">
        <v>32</v>
      </c>
      <c r="E326" t="s">
        <v>832</v>
      </c>
      <c r="F326">
        <v>125120</v>
      </c>
      <c r="G326" t="s">
        <v>30</v>
      </c>
      <c r="H326" t="s">
        <v>874</v>
      </c>
    </row>
    <row r="327" spans="1:8" x14ac:dyDescent="0.25">
      <c r="A327">
        <v>880</v>
      </c>
      <c r="B327">
        <v>1192</v>
      </c>
      <c r="C327" t="s">
        <v>22</v>
      </c>
      <c r="D327" t="s">
        <v>23</v>
      </c>
      <c r="E327" t="s">
        <v>725</v>
      </c>
      <c r="F327">
        <v>600038</v>
      </c>
      <c r="G327" t="s">
        <v>30</v>
      </c>
      <c r="H327" t="s">
        <v>1109</v>
      </c>
    </row>
    <row r="328" spans="1:8" x14ac:dyDescent="0.25">
      <c r="A328">
        <v>798</v>
      </c>
      <c r="B328">
        <v>1100</v>
      </c>
      <c r="C328" t="s">
        <v>22</v>
      </c>
      <c r="D328" t="s">
        <v>32</v>
      </c>
      <c r="E328" t="s">
        <v>656</v>
      </c>
      <c r="G328" t="s">
        <v>27</v>
      </c>
      <c r="H328" t="s">
        <v>1110</v>
      </c>
    </row>
    <row r="329" spans="1:8" x14ac:dyDescent="0.25">
      <c r="A329">
        <v>639</v>
      </c>
      <c r="B329">
        <v>646</v>
      </c>
      <c r="C329" t="s">
        <v>22</v>
      </c>
      <c r="D329" t="s">
        <v>536</v>
      </c>
      <c r="E329" t="s">
        <v>540</v>
      </c>
      <c r="F329">
        <v>124411</v>
      </c>
      <c r="G329" t="s">
        <v>27</v>
      </c>
      <c r="H329" t="s">
        <v>853</v>
      </c>
    </row>
    <row r="330" spans="1:8" x14ac:dyDescent="0.25">
      <c r="A330">
        <v>221</v>
      </c>
      <c r="B330">
        <v>818</v>
      </c>
      <c r="C330" t="s">
        <v>22</v>
      </c>
      <c r="D330" t="s">
        <v>166</v>
      </c>
      <c r="E330" t="s">
        <v>193</v>
      </c>
      <c r="F330">
        <v>124501</v>
      </c>
      <c r="G330" t="s">
        <v>77</v>
      </c>
      <c r="H330" t="s">
        <v>1111</v>
      </c>
    </row>
    <row r="331" spans="1:8" x14ac:dyDescent="0.25">
      <c r="A331">
        <v>727</v>
      </c>
      <c r="B331">
        <v>701</v>
      </c>
      <c r="C331" t="s">
        <v>22</v>
      </c>
      <c r="D331" t="s">
        <v>239</v>
      </c>
      <c r="E331" t="s">
        <v>607</v>
      </c>
      <c r="F331">
        <v>136035</v>
      </c>
      <c r="G331" t="s">
        <v>27</v>
      </c>
      <c r="H331" t="s">
        <v>841</v>
      </c>
    </row>
    <row r="332" spans="1:8" x14ac:dyDescent="0.25">
      <c r="A332">
        <v>53</v>
      </c>
      <c r="B332">
        <v>867</v>
      </c>
      <c r="C332" t="s">
        <v>22</v>
      </c>
      <c r="D332" t="s">
        <v>328</v>
      </c>
      <c r="E332" t="s">
        <v>439</v>
      </c>
      <c r="G332" t="s">
        <v>30</v>
      </c>
      <c r="H332" t="s">
        <v>853</v>
      </c>
    </row>
    <row r="333" spans="1:8" x14ac:dyDescent="0.25">
      <c r="A333">
        <v>280</v>
      </c>
      <c r="B333">
        <v>702</v>
      </c>
      <c r="C333" t="s">
        <v>22</v>
      </c>
      <c r="D333" t="s">
        <v>254</v>
      </c>
      <c r="E333" t="s">
        <v>255</v>
      </c>
      <c r="F333">
        <v>132024</v>
      </c>
      <c r="G333" t="s">
        <v>24</v>
      </c>
      <c r="H333" t="s">
        <v>1112</v>
      </c>
    </row>
    <row r="334" spans="1:8" x14ac:dyDescent="0.25">
      <c r="A334">
        <v>210</v>
      </c>
      <c r="B334">
        <v>815</v>
      </c>
      <c r="C334" t="s">
        <v>22</v>
      </c>
      <c r="D334" t="s">
        <v>166</v>
      </c>
      <c r="E334" t="s">
        <v>181</v>
      </c>
      <c r="F334">
        <v>124146</v>
      </c>
      <c r="G334" t="s">
        <v>27</v>
      </c>
      <c r="H334" t="s">
        <v>1113</v>
      </c>
    </row>
    <row r="335" spans="1:8" x14ac:dyDescent="0.25">
      <c r="A335">
        <v>126</v>
      </c>
      <c r="B335">
        <v>1014</v>
      </c>
      <c r="C335" t="s">
        <v>22</v>
      </c>
      <c r="D335" t="s">
        <v>42</v>
      </c>
      <c r="E335" t="s">
        <v>108</v>
      </c>
      <c r="F335">
        <v>125001</v>
      </c>
      <c r="G335" t="s">
        <v>27</v>
      </c>
      <c r="H335" t="s">
        <v>1114</v>
      </c>
    </row>
    <row r="336" spans="1:8" x14ac:dyDescent="0.25">
      <c r="A336">
        <v>221</v>
      </c>
      <c r="B336">
        <v>825</v>
      </c>
      <c r="C336" t="s">
        <v>22</v>
      </c>
      <c r="D336" t="s">
        <v>166</v>
      </c>
      <c r="E336" t="s">
        <v>193</v>
      </c>
      <c r="F336">
        <v>124501</v>
      </c>
      <c r="G336" t="s">
        <v>77</v>
      </c>
      <c r="H336" t="s">
        <v>1111</v>
      </c>
    </row>
    <row r="337" spans="1:8" x14ac:dyDescent="0.25">
      <c r="A337">
        <v>721</v>
      </c>
      <c r="B337">
        <v>783</v>
      </c>
      <c r="C337" t="s">
        <v>22</v>
      </c>
      <c r="D337" t="s">
        <v>239</v>
      </c>
      <c r="E337" t="s">
        <v>601</v>
      </c>
      <c r="F337">
        <v>136026</v>
      </c>
      <c r="G337" t="s">
        <v>27</v>
      </c>
      <c r="H337" t="s">
        <v>1012</v>
      </c>
    </row>
    <row r="338" spans="1:8" x14ac:dyDescent="0.25">
      <c r="A338">
        <v>349</v>
      </c>
      <c r="B338">
        <v>710</v>
      </c>
      <c r="C338" t="s">
        <v>22</v>
      </c>
      <c r="D338" t="s">
        <v>254</v>
      </c>
      <c r="E338" t="s">
        <v>295</v>
      </c>
      <c r="F338">
        <v>132039</v>
      </c>
      <c r="G338" t="s">
        <v>77</v>
      </c>
      <c r="H338" t="s">
        <v>874</v>
      </c>
    </row>
    <row r="339" spans="1:8" x14ac:dyDescent="0.25">
      <c r="A339">
        <v>622</v>
      </c>
      <c r="B339">
        <v>709</v>
      </c>
      <c r="C339" t="s">
        <v>22</v>
      </c>
      <c r="D339" t="s">
        <v>440</v>
      </c>
      <c r="E339" t="s">
        <v>527</v>
      </c>
      <c r="F339">
        <v>123411</v>
      </c>
      <c r="G339" t="s">
        <v>27</v>
      </c>
      <c r="H339" t="s">
        <v>990</v>
      </c>
    </row>
    <row r="340" spans="1:8" x14ac:dyDescent="0.25">
      <c r="A340">
        <v>537</v>
      </c>
      <c r="B340">
        <v>755</v>
      </c>
      <c r="C340" t="s">
        <v>22</v>
      </c>
      <c r="D340" t="s">
        <v>440</v>
      </c>
      <c r="E340" t="s">
        <v>448</v>
      </c>
      <c r="F340">
        <v>123102</v>
      </c>
      <c r="G340" t="s">
        <v>27</v>
      </c>
      <c r="H340" t="s">
        <v>1115</v>
      </c>
    </row>
    <row r="341" spans="1:8" x14ac:dyDescent="0.25">
      <c r="A341">
        <v>22</v>
      </c>
      <c r="B341">
        <v>761</v>
      </c>
      <c r="C341" t="s">
        <v>22</v>
      </c>
      <c r="D341" t="s">
        <v>23</v>
      </c>
      <c r="E341" t="s">
        <v>191</v>
      </c>
      <c r="F341">
        <v>134201</v>
      </c>
      <c r="G341" t="s">
        <v>27</v>
      </c>
      <c r="H341" t="s">
        <v>1116</v>
      </c>
    </row>
    <row r="342" spans="1:8" x14ac:dyDescent="0.25">
      <c r="A342">
        <v>880</v>
      </c>
      <c r="B342">
        <v>769</v>
      </c>
      <c r="C342" t="s">
        <v>22</v>
      </c>
      <c r="D342" t="s">
        <v>23</v>
      </c>
      <c r="E342" t="s">
        <v>725</v>
      </c>
      <c r="F342">
        <v>600038</v>
      </c>
      <c r="G342" t="s">
        <v>30</v>
      </c>
      <c r="H342" t="s">
        <v>1047</v>
      </c>
    </row>
    <row r="343" spans="1:8" x14ac:dyDescent="0.25">
      <c r="A343">
        <v>733</v>
      </c>
      <c r="B343">
        <v>827</v>
      </c>
      <c r="C343">
        <v>13</v>
      </c>
      <c r="D343" s="2" t="s">
        <v>241</v>
      </c>
      <c r="E343" t="s">
        <v>613</v>
      </c>
      <c r="F343">
        <v>136027</v>
      </c>
      <c r="G343" t="s">
        <v>30</v>
      </c>
      <c r="H343" t="s">
        <v>858</v>
      </c>
    </row>
    <row r="344" spans="1:8" x14ac:dyDescent="0.25">
      <c r="A344">
        <v>639</v>
      </c>
      <c r="B344">
        <v>1120</v>
      </c>
      <c r="C344" t="s">
        <v>22</v>
      </c>
      <c r="D344" t="s">
        <v>536</v>
      </c>
      <c r="E344" t="s">
        <v>540</v>
      </c>
      <c r="F344">
        <v>124411</v>
      </c>
      <c r="G344" t="s">
        <v>27</v>
      </c>
      <c r="H344" t="s">
        <v>853</v>
      </c>
    </row>
    <row r="345" spans="1:8" x14ac:dyDescent="0.25">
      <c r="A345">
        <v>23</v>
      </c>
      <c r="B345">
        <v>760</v>
      </c>
      <c r="C345" t="s">
        <v>22</v>
      </c>
      <c r="D345" t="s">
        <v>23</v>
      </c>
      <c r="E345" t="s">
        <v>202</v>
      </c>
      <c r="F345">
        <v>134202</v>
      </c>
      <c r="G345" t="s">
        <v>27</v>
      </c>
      <c r="H345" t="s">
        <v>918</v>
      </c>
    </row>
    <row r="346" spans="1:8" x14ac:dyDescent="0.25">
      <c r="A346">
        <v>886</v>
      </c>
      <c r="B346">
        <v>739</v>
      </c>
      <c r="C346" t="s">
        <v>22</v>
      </c>
      <c r="D346" t="s">
        <v>453</v>
      </c>
      <c r="E346" t="s">
        <v>731</v>
      </c>
      <c r="F346">
        <v>125055</v>
      </c>
      <c r="G346" t="s">
        <v>30</v>
      </c>
      <c r="H346" t="s">
        <v>1117</v>
      </c>
    </row>
    <row r="347" spans="1:8" x14ac:dyDescent="0.25">
      <c r="A347">
        <v>25</v>
      </c>
      <c r="B347">
        <v>784</v>
      </c>
      <c r="C347" t="s">
        <v>22</v>
      </c>
      <c r="D347" t="s">
        <v>23</v>
      </c>
      <c r="E347" t="s">
        <v>222</v>
      </c>
      <c r="F347">
        <v>134003</v>
      </c>
      <c r="G347" t="s">
        <v>30</v>
      </c>
      <c r="H347" t="s">
        <v>1118</v>
      </c>
    </row>
    <row r="348" spans="1:8" x14ac:dyDescent="0.25">
      <c r="A348">
        <v>471</v>
      </c>
      <c r="B348">
        <v>737</v>
      </c>
      <c r="C348" t="s">
        <v>22</v>
      </c>
      <c r="D348" t="s">
        <v>367</v>
      </c>
      <c r="E348" t="s">
        <v>384</v>
      </c>
      <c r="F348">
        <v>132107</v>
      </c>
      <c r="G348" t="s">
        <v>27</v>
      </c>
      <c r="H348" t="s">
        <v>1119</v>
      </c>
    </row>
    <row r="349" spans="1:8" x14ac:dyDescent="0.25">
      <c r="A349">
        <v>56</v>
      </c>
      <c r="B349">
        <v>853</v>
      </c>
      <c r="C349" t="s">
        <v>22</v>
      </c>
      <c r="D349" t="s">
        <v>328</v>
      </c>
      <c r="E349" t="s">
        <v>473</v>
      </c>
      <c r="G349" t="s">
        <v>30</v>
      </c>
      <c r="H349" t="s">
        <v>1120</v>
      </c>
    </row>
    <row r="350" spans="1:8" x14ac:dyDescent="0.25">
      <c r="A350">
        <v>285</v>
      </c>
      <c r="B350">
        <v>673</v>
      </c>
      <c r="C350" t="s">
        <v>22</v>
      </c>
      <c r="D350" t="s">
        <v>254</v>
      </c>
      <c r="E350" t="s">
        <v>261</v>
      </c>
      <c r="F350">
        <v>132022</v>
      </c>
      <c r="G350" t="s">
        <v>24</v>
      </c>
      <c r="H350" t="s">
        <v>1121</v>
      </c>
    </row>
    <row r="351" spans="1:8" x14ac:dyDescent="0.25">
      <c r="A351">
        <v>882</v>
      </c>
      <c r="B351">
        <v>741</v>
      </c>
      <c r="C351" t="s">
        <v>22</v>
      </c>
      <c r="D351" t="s">
        <v>453</v>
      </c>
      <c r="E351" t="s">
        <v>727</v>
      </c>
      <c r="F351">
        <v>125104</v>
      </c>
      <c r="G351" t="s">
        <v>30</v>
      </c>
      <c r="H351" t="s">
        <v>1122</v>
      </c>
    </row>
    <row r="352" spans="1:8" x14ac:dyDescent="0.25">
      <c r="A352">
        <v>6</v>
      </c>
      <c r="B352">
        <v>721</v>
      </c>
      <c r="C352" t="s">
        <v>22</v>
      </c>
      <c r="D352" t="s">
        <v>23</v>
      </c>
      <c r="E352" t="s">
        <v>507</v>
      </c>
      <c r="F352">
        <v>134003</v>
      </c>
      <c r="G352" t="s">
        <v>62</v>
      </c>
      <c r="H352" t="s">
        <v>853</v>
      </c>
    </row>
    <row r="353" spans="1:8" x14ac:dyDescent="0.25">
      <c r="A353">
        <v>896</v>
      </c>
      <c r="B353">
        <v>807</v>
      </c>
      <c r="C353" t="s">
        <v>22</v>
      </c>
      <c r="D353" t="s">
        <v>23</v>
      </c>
      <c r="E353" t="s">
        <v>739</v>
      </c>
      <c r="F353">
        <v>133001</v>
      </c>
      <c r="G353" t="s">
        <v>30</v>
      </c>
      <c r="H353" t="s">
        <v>1123</v>
      </c>
    </row>
    <row r="354" spans="1:8" x14ac:dyDescent="0.25">
      <c r="A354">
        <v>908</v>
      </c>
      <c r="B354">
        <v>1064</v>
      </c>
      <c r="C354" t="s">
        <v>22</v>
      </c>
      <c r="D354" t="s">
        <v>440</v>
      </c>
      <c r="E354" t="s">
        <v>750</v>
      </c>
      <c r="F354">
        <v>123401</v>
      </c>
      <c r="G354" t="s">
        <v>27</v>
      </c>
      <c r="H354" t="s">
        <v>1124</v>
      </c>
    </row>
    <row r="355" spans="1:8" x14ac:dyDescent="0.25">
      <c r="A355">
        <v>94</v>
      </c>
      <c r="B355">
        <v>1143</v>
      </c>
      <c r="C355" t="s">
        <v>22</v>
      </c>
      <c r="D355" t="s">
        <v>29</v>
      </c>
      <c r="E355" t="s">
        <v>779</v>
      </c>
      <c r="F355">
        <v>122503</v>
      </c>
      <c r="G355" t="s">
        <v>77</v>
      </c>
      <c r="H355" t="s">
        <v>1125</v>
      </c>
    </row>
    <row r="356" spans="1:8" x14ac:dyDescent="0.25">
      <c r="A356">
        <v>885</v>
      </c>
      <c r="B356">
        <v>724</v>
      </c>
      <c r="C356" t="s">
        <v>22</v>
      </c>
      <c r="D356" t="s">
        <v>453</v>
      </c>
      <c r="E356" t="s">
        <v>730</v>
      </c>
      <c r="F356">
        <v>125054</v>
      </c>
      <c r="G356" t="s">
        <v>30</v>
      </c>
      <c r="H356" t="s">
        <v>1126</v>
      </c>
    </row>
    <row r="357" spans="1:8" x14ac:dyDescent="0.25">
      <c r="A357">
        <v>871</v>
      </c>
      <c r="B357">
        <v>638</v>
      </c>
      <c r="C357" t="s">
        <v>22</v>
      </c>
      <c r="D357" t="s">
        <v>29</v>
      </c>
      <c r="E357" t="s">
        <v>1127</v>
      </c>
      <c r="F357">
        <v>122503</v>
      </c>
      <c r="G357" t="s">
        <v>30</v>
      </c>
      <c r="H357" t="s">
        <v>1128</v>
      </c>
    </row>
    <row r="358" spans="1:8" x14ac:dyDescent="0.25">
      <c r="A358">
        <v>826</v>
      </c>
      <c r="B358">
        <v>664</v>
      </c>
      <c r="C358" t="s">
        <v>22</v>
      </c>
      <c r="D358" t="s">
        <v>453</v>
      </c>
      <c r="E358" t="s">
        <v>682</v>
      </c>
      <c r="F358">
        <v>125055</v>
      </c>
      <c r="G358" t="s">
        <v>30</v>
      </c>
      <c r="H358" t="s">
        <v>960</v>
      </c>
    </row>
    <row r="359" spans="1:8" x14ac:dyDescent="0.25">
      <c r="A359">
        <v>870</v>
      </c>
      <c r="B359">
        <v>711</v>
      </c>
      <c r="C359" t="s">
        <v>22</v>
      </c>
      <c r="D359" t="s">
        <v>29</v>
      </c>
      <c r="E359" t="s">
        <v>1129</v>
      </c>
      <c r="F359">
        <v>122413</v>
      </c>
      <c r="G359" t="s">
        <v>30</v>
      </c>
      <c r="H359" t="s">
        <v>1130</v>
      </c>
    </row>
    <row r="360" spans="1:8" x14ac:dyDescent="0.25">
      <c r="A360">
        <v>930</v>
      </c>
      <c r="B360">
        <v>891</v>
      </c>
      <c r="C360" t="s">
        <v>22</v>
      </c>
      <c r="D360" t="s">
        <v>23</v>
      </c>
      <c r="E360" t="s">
        <v>771</v>
      </c>
      <c r="F360">
        <v>134003</v>
      </c>
      <c r="G360" t="s">
        <v>30</v>
      </c>
      <c r="H360" t="s">
        <v>1131</v>
      </c>
    </row>
    <row r="361" spans="1:8" x14ac:dyDescent="0.25">
      <c r="A361">
        <v>922</v>
      </c>
      <c r="B361">
        <v>927</v>
      </c>
      <c r="C361" t="s">
        <v>22</v>
      </c>
      <c r="D361" t="s">
        <v>440</v>
      </c>
      <c r="E361" t="s">
        <v>763</v>
      </c>
      <c r="F361">
        <v>123404</v>
      </c>
      <c r="G361" t="s">
        <v>30</v>
      </c>
      <c r="H361" t="s">
        <v>1132</v>
      </c>
    </row>
    <row r="362" spans="1:8" x14ac:dyDescent="0.25">
      <c r="A362">
        <v>625</v>
      </c>
      <c r="B362">
        <v>716</v>
      </c>
      <c r="C362" t="s">
        <v>22</v>
      </c>
      <c r="D362" t="s">
        <v>440</v>
      </c>
      <c r="E362" t="s">
        <v>530</v>
      </c>
      <c r="F362">
        <v>123301</v>
      </c>
      <c r="G362" t="s">
        <v>27</v>
      </c>
      <c r="H362" t="s">
        <v>1133</v>
      </c>
    </row>
    <row r="363" spans="1:8" x14ac:dyDescent="0.25">
      <c r="A363">
        <v>805</v>
      </c>
      <c r="B363">
        <v>790</v>
      </c>
      <c r="C363" t="s">
        <v>22</v>
      </c>
      <c r="D363" t="s">
        <v>32</v>
      </c>
      <c r="E363" t="s">
        <v>662</v>
      </c>
      <c r="F363">
        <v>125120</v>
      </c>
      <c r="G363" t="s">
        <v>77</v>
      </c>
      <c r="H363" t="s">
        <v>853</v>
      </c>
    </row>
    <row r="364" spans="1:8" x14ac:dyDescent="0.25">
      <c r="A364">
        <v>880</v>
      </c>
      <c r="B364">
        <v>1180</v>
      </c>
      <c r="C364" t="s">
        <v>22</v>
      </c>
      <c r="D364" t="s">
        <v>23</v>
      </c>
      <c r="E364" t="s">
        <v>725</v>
      </c>
      <c r="F364">
        <v>600038</v>
      </c>
      <c r="G364" t="s">
        <v>30</v>
      </c>
      <c r="H364" t="s">
        <v>1134</v>
      </c>
    </row>
    <row r="365" spans="1:8" x14ac:dyDescent="0.25">
      <c r="A365">
        <v>360</v>
      </c>
      <c r="B365">
        <v>299</v>
      </c>
      <c r="C365" t="s">
        <v>22</v>
      </c>
      <c r="D365" t="s">
        <v>298</v>
      </c>
      <c r="E365" t="s">
        <v>308</v>
      </c>
      <c r="F365">
        <v>136119</v>
      </c>
      <c r="G365" t="s">
        <v>27</v>
      </c>
      <c r="H365" t="s">
        <v>1135</v>
      </c>
    </row>
    <row r="366" spans="1:8" x14ac:dyDescent="0.25">
      <c r="A366">
        <v>288</v>
      </c>
      <c r="B366">
        <v>679</v>
      </c>
      <c r="C366" t="s">
        <v>22</v>
      </c>
      <c r="D366" t="s">
        <v>254</v>
      </c>
      <c r="E366" t="s">
        <v>264</v>
      </c>
      <c r="F366">
        <v>132001</v>
      </c>
      <c r="G366" t="s">
        <v>62</v>
      </c>
      <c r="H366" t="s">
        <v>1136</v>
      </c>
    </row>
    <row r="367" spans="1:8" x14ac:dyDescent="0.25">
      <c r="A367">
        <v>632</v>
      </c>
      <c r="B367">
        <v>1116</v>
      </c>
      <c r="C367" t="s">
        <v>22</v>
      </c>
      <c r="D367" t="s">
        <v>536</v>
      </c>
      <c r="E367" t="s">
        <v>537</v>
      </c>
      <c r="F367">
        <v>124412</v>
      </c>
      <c r="G367" t="s">
        <v>24</v>
      </c>
      <c r="H367" t="s">
        <v>883</v>
      </c>
    </row>
    <row r="368" spans="1:8" x14ac:dyDescent="0.25">
      <c r="A368">
        <v>350</v>
      </c>
      <c r="B368">
        <v>388</v>
      </c>
      <c r="C368" t="s">
        <v>22</v>
      </c>
      <c r="D368" t="s">
        <v>254</v>
      </c>
      <c r="E368" t="s">
        <v>296</v>
      </c>
      <c r="F368">
        <v>132041</v>
      </c>
      <c r="G368" t="s">
        <v>77</v>
      </c>
      <c r="H368" t="s">
        <v>1137</v>
      </c>
    </row>
    <row r="369" spans="1:8" x14ac:dyDescent="0.25">
      <c r="A369">
        <v>37</v>
      </c>
      <c r="B369">
        <v>753</v>
      </c>
      <c r="C369" t="s">
        <v>22</v>
      </c>
      <c r="D369" t="s">
        <v>23</v>
      </c>
      <c r="E369" t="s">
        <v>318</v>
      </c>
      <c r="F369">
        <v>133001</v>
      </c>
      <c r="G369" t="s">
        <v>77</v>
      </c>
      <c r="H369" t="s">
        <v>1138</v>
      </c>
    </row>
    <row r="370" spans="1:8" x14ac:dyDescent="0.25">
      <c r="A370">
        <v>767</v>
      </c>
      <c r="B370">
        <v>364</v>
      </c>
      <c r="C370" t="s">
        <v>22</v>
      </c>
      <c r="D370" t="s">
        <v>367</v>
      </c>
      <c r="E370" t="s">
        <v>631</v>
      </c>
      <c r="F370">
        <v>132103</v>
      </c>
      <c r="G370" t="s">
        <v>30</v>
      </c>
      <c r="H370" t="s">
        <v>1139</v>
      </c>
    </row>
    <row r="371" spans="1:8" x14ac:dyDescent="0.25">
      <c r="A371">
        <v>8</v>
      </c>
      <c r="B371">
        <v>758</v>
      </c>
      <c r="C371" t="s">
        <v>22</v>
      </c>
      <c r="D371" t="s">
        <v>23</v>
      </c>
      <c r="E371" t="s">
        <v>658</v>
      </c>
      <c r="F371">
        <v>133104</v>
      </c>
      <c r="G371" t="s">
        <v>27</v>
      </c>
      <c r="H371" t="s">
        <v>1140</v>
      </c>
    </row>
    <row r="372" spans="1:8" x14ac:dyDescent="0.25">
      <c r="A372">
        <v>197</v>
      </c>
      <c r="B372">
        <v>805</v>
      </c>
      <c r="C372" t="s">
        <v>22</v>
      </c>
      <c r="D372" t="s">
        <v>140</v>
      </c>
      <c r="E372" t="s">
        <v>165</v>
      </c>
      <c r="F372">
        <v>135133</v>
      </c>
      <c r="G372" t="s">
        <v>77</v>
      </c>
      <c r="H372" t="s">
        <v>922</v>
      </c>
    </row>
    <row r="373" spans="1:8" x14ac:dyDescent="0.25">
      <c r="A373">
        <v>808</v>
      </c>
      <c r="B373">
        <v>607</v>
      </c>
      <c r="C373" t="s">
        <v>22</v>
      </c>
      <c r="D373" t="s">
        <v>453</v>
      </c>
      <c r="E373" t="s">
        <v>665</v>
      </c>
      <c r="F373">
        <v>125055</v>
      </c>
      <c r="G373" t="s">
        <v>30</v>
      </c>
      <c r="H373" t="s">
        <v>1141</v>
      </c>
    </row>
    <row r="374" spans="1:8" x14ac:dyDescent="0.25">
      <c r="A374">
        <v>478</v>
      </c>
      <c r="B374">
        <v>723</v>
      </c>
      <c r="C374" t="s">
        <v>22</v>
      </c>
      <c r="D374" t="s">
        <v>367</v>
      </c>
      <c r="E374" t="s">
        <v>391</v>
      </c>
      <c r="F374">
        <v>132103</v>
      </c>
      <c r="G374" t="s">
        <v>27</v>
      </c>
      <c r="H374" t="s">
        <v>858</v>
      </c>
    </row>
    <row r="375" spans="1:8" x14ac:dyDescent="0.25">
      <c r="A375">
        <v>1</v>
      </c>
      <c r="B375">
        <v>746</v>
      </c>
      <c r="C375" t="s">
        <v>22</v>
      </c>
      <c r="D375" t="s">
        <v>23</v>
      </c>
      <c r="E375" t="s">
        <v>25</v>
      </c>
      <c r="F375">
        <v>134202</v>
      </c>
      <c r="G375" t="s">
        <v>24</v>
      </c>
      <c r="H375" t="s">
        <v>848</v>
      </c>
    </row>
    <row r="376" spans="1:8" x14ac:dyDescent="0.25">
      <c r="A376">
        <v>832</v>
      </c>
      <c r="B376">
        <v>657</v>
      </c>
      <c r="C376" t="s">
        <v>22</v>
      </c>
      <c r="D376" t="s">
        <v>453</v>
      </c>
      <c r="E376" t="s">
        <v>689</v>
      </c>
      <c r="F376">
        <v>125055</v>
      </c>
      <c r="G376" t="s">
        <v>30</v>
      </c>
      <c r="H376" t="s">
        <v>1142</v>
      </c>
    </row>
    <row r="377" spans="1:8" x14ac:dyDescent="0.25">
      <c r="A377">
        <v>674</v>
      </c>
      <c r="B377">
        <v>509</v>
      </c>
      <c r="C377" t="s">
        <v>22</v>
      </c>
      <c r="D377" t="s">
        <v>536</v>
      </c>
      <c r="E377" t="s">
        <v>559</v>
      </c>
      <c r="F377">
        <v>124001</v>
      </c>
      <c r="G377" t="s">
        <v>30</v>
      </c>
      <c r="H377" t="s">
        <v>1143</v>
      </c>
    </row>
    <row r="378" spans="1:8" x14ac:dyDescent="0.25">
      <c r="A378">
        <v>19</v>
      </c>
      <c r="B378">
        <v>743</v>
      </c>
      <c r="C378" t="s">
        <v>22</v>
      </c>
      <c r="D378" t="s">
        <v>23</v>
      </c>
      <c r="E378" t="s">
        <v>157</v>
      </c>
      <c r="F378">
        <v>134203</v>
      </c>
      <c r="G378" t="s">
        <v>27</v>
      </c>
      <c r="H378" t="s">
        <v>1144</v>
      </c>
    </row>
    <row r="379" spans="1:8" x14ac:dyDescent="0.25">
      <c r="A379">
        <v>468</v>
      </c>
      <c r="B379">
        <v>732</v>
      </c>
      <c r="C379" t="s">
        <v>22</v>
      </c>
      <c r="D379" t="s">
        <v>367</v>
      </c>
      <c r="E379" t="s">
        <v>380</v>
      </c>
      <c r="F379">
        <v>132113</v>
      </c>
      <c r="G379" t="s">
        <v>27</v>
      </c>
      <c r="H379" t="s">
        <v>1145</v>
      </c>
    </row>
    <row r="380" spans="1:8" x14ac:dyDescent="0.25">
      <c r="A380">
        <v>627</v>
      </c>
      <c r="B380">
        <v>700</v>
      </c>
      <c r="C380" t="s">
        <v>22</v>
      </c>
      <c r="D380" t="s">
        <v>440</v>
      </c>
      <c r="E380" t="s">
        <v>532</v>
      </c>
      <c r="F380">
        <v>123401</v>
      </c>
      <c r="G380" t="s">
        <v>27</v>
      </c>
      <c r="H380" t="s">
        <v>990</v>
      </c>
    </row>
    <row r="381" spans="1:8" x14ac:dyDescent="0.25">
      <c r="A381">
        <v>325</v>
      </c>
      <c r="B381">
        <v>706</v>
      </c>
      <c r="C381" t="s">
        <v>22</v>
      </c>
      <c r="D381" t="s">
        <v>254</v>
      </c>
      <c r="E381" t="s">
        <v>285</v>
      </c>
      <c r="F381">
        <v>132001</v>
      </c>
      <c r="G381" t="s">
        <v>30</v>
      </c>
      <c r="H381" t="s">
        <v>1146</v>
      </c>
    </row>
    <row r="382" spans="1:8" x14ac:dyDescent="0.25">
      <c r="A382">
        <v>881</v>
      </c>
      <c r="B382">
        <v>725</v>
      </c>
      <c r="C382" t="s">
        <v>22</v>
      </c>
      <c r="D382" t="s">
        <v>453</v>
      </c>
      <c r="E382" t="s">
        <v>1147</v>
      </c>
      <c r="F382">
        <v>125104</v>
      </c>
      <c r="G382" t="s">
        <v>30</v>
      </c>
      <c r="H382" t="s">
        <v>1148</v>
      </c>
    </row>
    <row r="383" spans="1:8" x14ac:dyDescent="0.25">
      <c r="A383">
        <v>745</v>
      </c>
      <c r="B383">
        <v>848</v>
      </c>
      <c r="C383" t="s">
        <v>22</v>
      </c>
      <c r="D383" t="s">
        <v>23</v>
      </c>
      <c r="E383" t="s">
        <v>624</v>
      </c>
      <c r="F383">
        <v>133006</v>
      </c>
      <c r="G383" t="s">
        <v>30</v>
      </c>
      <c r="H383" t="s">
        <v>1149</v>
      </c>
    </row>
    <row r="384" spans="1:8" x14ac:dyDescent="0.25">
      <c r="A384">
        <v>624</v>
      </c>
      <c r="B384">
        <v>707</v>
      </c>
      <c r="C384" t="s">
        <v>22</v>
      </c>
      <c r="D384" t="s">
        <v>440</v>
      </c>
      <c r="E384" t="s">
        <v>529</v>
      </c>
      <c r="F384">
        <v>123303</v>
      </c>
      <c r="G384" t="s">
        <v>27</v>
      </c>
      <c r="H384" t="s">
        <v>853</v>
      </c>
    </row>
    <row r="385" spans="1:8" x14ac:dyDescent="0.25">
      <c r="A385">
        <v>536</v>
      </c>
      <c r="B385">
        <v>762</v>
      </c>
      <c r="C385" t="s">
        <v>22</v>
      </c>
      <c r="D385" t="s">
        <v>440</v>
      </c>
      <c r="E385" t="s">
        <v>447</v>
      </c>
      <c r="F385">
        <v>123401</v>
      </c>
      <c r="G385" t="s">
        <v>27</v>
      </c>
      <c r="H385" t="s">
        <v>990</v>
      </c>
    </row>
    <row r="386" spans="1:8" x14ac:dyDescent="0.25">
      <c r="A386">
        <v>869</v>
      </c>
      <c r="B386">
        <v>635</v>
      </c>
      <c r="C386" t="s">
        <v>22</v>
      </c>
      <c r="D386" t="s">
        <v>29</v>
      </c>
      <c r="E386" t="s">
        <v>1150</v>
      </c>
      <c r="F386">
        <v>122051</v>
      </c>
      <c r="G386" t="s">
        <v>30</v>
      </c>
      <c r="H386" t="s">
        <v>1151</v>
      </c>
    </row>
    <row r="387" spans="1:8" x14ac:dyDescent="0.25">
      <c r="A387">
        <v>831</v>
      </c>
      <c r="B387">
        <v>643</v>
      </c>
      <c r="C387" t="s">
        <v>22</v>
      </c>
      <c r="D387" t="s">
        <v>453</v>
      </c>
      <c r="E387" t="s">
        <v>688</v>
      </c>
      <c r="F387">
        <v>125055</v>
      </c>
      <c r="G387" t="s">
        <v>30</v>
      </c>
      <c r="H387" t="s">
        <v>877</v>
      </c>
    </row>
    <row r="388" spans="1:8" x14ac:dyDescent="0.25">
      <c r="A388">
        <v>822</v>
      </c>
      <c r="B388">
        <v>718</v>
      </c>
      <c r="C388" t="s">
        <v>22</v>
      </c>
      <c r="D388" t="s">
        <v>453</v>
      </c>
      <c r="E388" t="s">
        <v>678</v>
      </c>
      <c r="F388">
        <v>125055</v>
      </c>
      <c r="G388" t="s">
        <v>30</v>
      </c>
      <c r="H388" t="s">
        <v>1152</v>
      </c>
    </row>
    <row r="389" spans="1:8" x14ac:dyDescent="0.25">
      <c r="A389">
        <v>16</v>
      </c>
      <c r="B389">
        <v>771</v>
      </c>
      <c r="C389" t="s">
        <v>22</v>
      </c>
      <c r="D389" t="s">
        <v>23</v>
      </c>
      <c r="E389" t="s">
        <v>132</v>
      </c>
      <c r="F389">
        <v>133101</v>
      </c>
      <c r="G389" t="s">
        <v>27</v>
      </c>
      <c r="H389" t="s">
        <v>848</v>
      </c>
    </row>
    <row r="390" spans="1:8" x14ac:dyDescent="0.25">
      <c r="A390">
        <v>532</v>
      </c>
      <c r="B390">
        <v>765</v>
      </c>
      <c r="C390" t="s">
        <v>22</v>
      </c>
      <c r="D390" t="s">
        <v>440</v>
      </c>
      <c r="E390" t="s">
        <v>443</v>
      </c>
      <c r="F390">
        <v>123103</v>
      </c>
      <c r="G390" t="s">
        <v>24</v>
      </c>
      <c r="H390" t="s">
        <v>853</v>
      </c>
    </row>
    <row r="391" spans="1:8" x14ac:dyDescent="0.25">
      <c r="A391">
        <v>569</v>
      </c>
      <c r="B391">
        <v>834</v>
      </c>
      <c r="C391" t="s">
        <v>22</v>
      </c>
      <c r="D391" t="s">
        <v>453</v>
      </c>
      <c r="E391" t="s">
        <v>483</v>
      </c>
      <c r="F391">
        <v>125201</v>
      </c>
      <c r="G391" t="s">
        <v>27</v>
      </c>
      <c r="H391" t="s">
        <v>883</v>
      </c>
    </row>
    <row r="392" spans="1:8" x14ac:dyDescent="0.25">
      <c r="A392">
        <v>874</v>
      </c>
      <c r="B392">
        <v>712</v>
      </c>
      <c r="C392" t="s">
        <v>22</v>
      </c>
      <c r="D392" t="s">
        <v>239</v>
      </c>
      <c r="E392" t="s">
        <v>721</v>
      </c>
      <c r="F392">
        <v>136027</v>
      </c>
      <c r="G392" t="s">
        <v>30</v>
      </c>
      <c r="H392" t="s">
        <v>1153</v>
      </c>
    </row>
    <row r="393" spans="1:8" x14ac:dyDescent="0.25">
      <c r="A393">
        <v>792</v>
      </c>
      <c r="B393">
        <v>1095</v>
      </c>
      <c r="C393" t="s">
        <v>22</v>
      </c>
      <c r="D393" t="s">
        <v>32</v>
      </c>
      <c r="E393" t="s">
        <v>650</v>
      </c>
      <c r="G393" t="s">
        <v>27</v>
      </c>
      <c r="H393" t="s">
        <v>1154</v>
      </c>
    </row>
    <row r="394" spans="1:8" x14ac:dyDescent="0.25">
      <c r="A394">
        <v>835</v>
      </c>
      <c r="B394">
        <v>641</v>
      </c>
      <c r="C394" t="s">
        <v>22</v>
      </c>
      <c r="D394" t="s">
        <v>453</v>
      </c>
      <c r="E394" t="s">
        <v>692</v>
      </c>
      <c r="F394">
        <v>125055</v>
      </c>
      <c r="G394" t="s">
        <v>30</v>
      </c>
      <c r="H394" t="s">
        <v>1155</v>
      </c>
    </row>
    <row r="395" spans="1:8" x14ac:dyDescent="0.25">
      <c r="A395">
        <v>21</v>
      </c>
      <c r="B395">
        <v>749</v>
      </c>
      <c r="C395" t="s">
        <v>22</v>
      </c>
      <c r="D395" t="s">
        <v>23</v>
      </c>
      <c r="E395" t="s">
        <v>180</v>
      </c>
      <c r="F395">
        <v>134203</v>
      </c>
      <c r="G395" t="s">
        <v>27</v>
      </c>
      <c r="H395" t="s">
        <v>848</v>
      </c>
    </row>
    <row r="396" spans="1:8" x14ac:dyDescent="0.25">
      <c r="A396">
        <v>531</v>
      </c>
      <c r="B396">
        <v>763</v>
      </c>
      <c r="C396" t="s">
        <v>22</v>
      </c>
      <c r="D396" t="s">
        <v>440</v>
      </c>
      <c r="E396" t="s">
        <v>441</v>
      </c>
      <c r="F396">
        <v>122502</v>
      </c>
      <c r="G396" t="s">
        <v>24</v>
      </c>
      <c r="H396" t="s">
        <v>990</v>
      </c>
    </row>
    <row r="397" spans="1:8" x14ac:dyDescent="0.25">
      <c r="A397">
        <v>932</v>
      </c>
      <c r="B397">
        <v>946</v>
      </c>
      <c r="C397" t="s">
        <v>22</v>
      </c>
      <c r="D397" t="s">
        <v>328</v>
      </c>
      <c r="E397" t="s">
        <v>773</v>
      </c>
      <c r="F397">
        <v>127309</v>
      </c>
      <c r="G397" t="s">
        <v>24</v>
      </c>
      <c r="H397" t="s">
        <v>1156</v>
      </c>
    </row>
    <row r="398" spans="1:8" x14ac:dyDescent="0.25">
      <c r="A398">
        <v>948</v>
      </c>
      <c r="B398">
        <v>981</v>
      </c>
      <c r="C398" t="s">
        <v>22</v>
      </c>
      <c r="D398" t="s">
        <v>328</v>
      </c>
      <c r="E398" t="s">
        <v>788</v>
      </c>
      <c r="F398">
        <v>127045</v>
      </c>
      <c r="G398" t="s">
        <v>27</v>
      </c>
      <c r="H398" t="s">
        <v>1157</v>
      </c>
    </row>
    <row r="399" spans="1:8" x14ac:dyDescent="0.25">
      <c r="A399">
        <v>38</v>
      </c>
      <c r="B399">
        <v>398</v>
      </c>
      <c r="C399" t="s">
        <v>22</v>
      </c>
      <c r="D399" t="s">
        <v>23</v>
      </c>
      <c r="E399" t="s">
        <v>322</v>
      </c>
      <c r="F399">
        <v>134203</v>
      </c>
      <c r="G399" t="s">
        <v>77</v>
      </c>
      <c r="H399" t="s">
        <v>1158</v>
      </c>
    </row>
    <row r="400" spans="1:8" x14ac:dyDescent="0.25">
      <c r="A400">
        <v>776</v>
      </c>
      <c r="B400">
        <v>990</v>
      </c>
      <c r="C400" t="s">
        <v>22</v>
      </c>
      <c r="D400" t="s">
        <v>32</v>
      </c>
      <c r="E400" t="s">
        <v>638</v>
      </c>
      <c r="F400">
        <v>125053</v>
      </c>
      <c r="G400" t="s">
        <v>24</v>
      </c>
      <c r="H400" t="s">
        <v>1159</v>
      </c>
    </row>
    <row r="401" spans="1:8" x14ac:dyDescent="0.25">
      <c r="A401">
        <v>840</v>
      </c>
      <c r="B401">
        <v>670</v>
      </c>
      <c r="C401" t="s">
        <v>22</v>
      </c>
      <c r="D401" t="s">
        <v>453</v>
      </c>
      <c r="E401" t="s">
        <v>698</v>
      </c>
      <c r="F401">
        <v>125055</v>
      </c>
      <c r="G401" t="s">
        <v>30</v>
      </c>
      <c r="H401" t="s">
        <v>1160</v>
      </c>
    </row>
    <row r="402" spans="1:8" x14ac:dyDescent="0.25">
      <c r="A402">
        <v>299</v>
      </c>
      <c r="B402">
        <v>774</v>
      </c>
      <c r="C402" t="s">
        <v>22</v>
      </c>
      <c r="D402" t="s">
        <v>254</v>
      </c>
      <c r="E402" t="s">
        <v>271</v>
      </c>
      <c r="F402">
        <v>132001</v>
      </c>
      <c r="G402" t="s">
        <v>27</v>
      </c>
      <c r="H402" t="s">
        <v>1161</v>
      </c>
    </row>
    <row r="403" spans="1:8" x14ac:dyDescent="0.25">
      <c r="A403">
        <v>547</v>
      </c>
      <c r="B403">
        <v>840</v>
      </c>
      <c r="C403" t="s">
        <v>22</v>
      </c>
      <c r="D403" t="s">
        <v>453</v>
      </c>
      <c r="E403" t="s">
        <v>461</v>
      </c>
      <c r="F403">
        <v>125055</v>
      </c>
      <c r="G403" t="s">
        <v>62</v>
      </c>
      <c r="H403" t="s">
        <v>1002</v>
      </c>
    </row>
    <row r="404" spans="1:8" x14ac:dyDescent="0.25">
      <c r="A404">
        <v>102</v>
      </c>
      <c r="B404">
        <v>839</v>
      </c>
      <c r="C404" t="s">
        <v>22</v>
      </c>
      <c r="D404" t="s">
        <v>42</v>
      </c>
      <c r="E404" t="s">
        <v>51</v>
      </c>
      <c r="F404">
        <v>125121</v>
      </c>
      <c r="G404" t="s">
        <v>24</v>
      </c>
      <c r="H404" t="s">
        <v>1162</v>
      </c>
    </row>
    <row r="405" spans="1:8" x14ac:dyDescent="0.25">
      <c r="A405">
        <v>348</v>
      </c>
      <c r="B405">
        <v>687</v>
      </c>
      <c r="C405" t="s">
        <v>22</v>
      </c>
      <c r="D405" t="s">
        <v>254</v>
      </c>
      <c r="E405" t="s">
        <v>294</v>
      </c>
      <c r="F405">
        <v>132001</v>
      </c>
      <c r="G405" t="s">
        <v>30</v>
      </c>
      <c r="H405" t="s">
        <v>1163</v>
      </c>
    </row>
    <row r="406" spans="1:8" x14ac:dyDescent="0.25">
      <c r="A406">
        <v>361</v>
      </c>
      <c r="B406">
        <v>302</v>
      </c>
      <c r="C406" t="s">
        <v>22</v>
      </c>
      <c r="D406" t="s">
        <v>298</v>
      </c>
      <c r="E406" t="s">
        <v>309</v>
      </c>
      <c r="F406">
        <v>136135</v>
      </c>
      <c r="G406" t="s">
        <v>27</v>
      </c>
      <c r="H406" t="s">
        <v>1164</v>
      </c>
    </row>
    <row r="407" spans="1:8" x14ac:dyDescent="0.25">
      <c r="A407">
        <v>299</v>
      </c>
      <c r="B407">
        <v>776</v>
      </c>
      <c r="C407" t="s">
        <v>22</v>
      </c>
      <c r="D407" t="s">
        <v>254</v>
      </c>
      <c r="E407" t="s">
        <v>271</v>
      </c>
      <c r="F407">
        <v>132001</v>
      </c>
      <c r="G407" t="s">
        <v>27</v>
      </c>
      <c r="H407" t="s">
        <v>1161</v>
      </c>
    </row>
    <row r="408" spans="1:8" x14ac:dyDescent="0.25">
      <c r="A408">
        <v>353</v>
      </c>
      <c r="B408">
        <v>394</v>
      </c>
      <c r="C408" t="s">
        <v>22</v>
      </c>
      <c r="D408" t="s">
        <v>298</v>
      </c>
      <c r="E408" t="s">
        <v>301</v>
      </c>
      <c r="F408">
        <v>136156</v>
      </c>
      <c r="G408" t="s">
        <v>24</v>
      </c>
      <c r="H408" t="s">
        <v>861</v>
      </c>
    </row>
    <row r="409" spans="1:8" x14ac:dyDescent="0.25">
      <c r="A409">
        <v>92</v>
      </c>
      <c r="B409">
        <v>290</v>
      </c>
      <c r="C409" t="s">
        <v>22</v>
      </c>
      <c r="D409" t="s">
        <v>29</v>
      </c>
      <c r="E409" t="s">
        <v>758</v>
      </c>
      <c r="G409" t="s">
        <v>30</v>
      </c>
      <c r="H409" t="s">
        <v>1165</v>
      </c>
    </row>
    <row r="410" spans="1:8" x14ac:dyDescent="0.25">
      <c r="A410">
        <v>830</v>
      </c>
      <c r="B410">
        <v>719</v>
      </c>
      <c r="C410" t="s">
        <v>22</v>
      </c>
      <c r="D410" t="s">
        <v>453</v>
      </c>
      <c r="E410" t="s">
        <v>687</v>
      </c>
      <c r="F410">
        <v>125055</v>
      </c>
      <c r="G410" t="s">
        <v>30</v>
      </c>
      <c r="H410" t="s">
        <v>1166</v>
      </c>
    </row>
    <row r="411" spans="1:8" x14ac:dyDescent="0.25">
      <c r="A411">
        <v>56</v>
      </c>
      <c r="B411">
        <v>855</v>
      </c>
      <c r="C411" t="s">
        <v>22</v>
      </c>
      <c r="D411" t="s">
        <v>328</v>
      </c>
      <c r="E411" t="s">
        <v>473</v>
      </c>
      <c r="G411" t="s">
        <v>30</v>
      </c>
      <c r="H411" t="s">
        <v>1120</v>
      </c>
    </row>
    <row r="412" spans="1:8" x14ac:dyDescent="0.25">
      <c r="A412">
        <v>533</v>
      </c>
      <c r="B412">
        <v>931</v>
      </c>
      <c r="C412" t="s">
        <v>22</v>
      </c>
      <c r="D412" t="s">
        <v>440</v>
      </c>
      <c r="E412" t="s">
        <v>444</v>
      </c>
      <c r="F412">
        <v>123303</v>
      </c>
      <c r="G412" t="s">
        <v>24</v>
      </c>
      <c r="H412" t="s">
        <v>924</v>
      </c>
    </row>
    <row r="413" spans="1:8" x14ac:dyDescent="0.25">
      <c r="A413">
        <v>568</v>
      </c>
      <c r="B413">
        <v>786</v>
      </c>
      <c r="C413" t="s">
        <v>22</v>
      </c>
      <c r="D413" t="s">
        <v>453</v>
      </c>
      <c r="E413" t="s">
        <v>482</v>
      </c>
      <c r="F413">
        <v>125201</v>
      </c>
      <c r="G413" t="s">
        <v>27</v>
      </c>
      <c r="H413" t="s">
        <v>918</v>
      </c>
    </row>
    <row r="414" spans="1:8" x14ac:dyDescent="0.25">
      <c r="A414">
        <v>94</v>
      </c>
      <c r="B414">
        <v>1132</v>
      </c>
      <c r="C414" t="s">
        <v>22</v>
      </c>
      <c r="D414" t="s">
        <v>29</v>
      </c>
      <c r="E414" t="s">
        <v>779</v>
      </c>
      <c r="F414">
        <v>122503</v>
      </c>
      <c r="G414" t="s">
        <v>77</v>
      </c>
      <c r="H414" t="s">
        <v>1167</v>
      </c>
    </row>
    <row r="415" spans="1:8" x14ac:dyDescent="0.25">
      <c r="A415">
        <v>545</v>
      </c>
      <c r="B415">
        <v>838</v>
      </c>
      <c r="C415" t="s">
        <v>22</v>
      </c>
      <c r="D415" t="s">
        <v>453</v>
      </c>
      <c r="E415" t="s">
        <v>459</v>
      </c>
      <c r="F415">
        <v>125110</v>
      </c>
      <c r="G415" t="s">
        <v>24</v>
      </c>
      <c r="H415" t="s">
        <v>1168</v>
      </c>
    </row>
    <row r="416" spans="1:8" x14ac:dyDescent="0.25">
      <c r="A416">
        <v>201</v>
      </c>
      <c r="B416">
        <v>991</v>
      </c>
      <c r="C416" t="s">
        <v>22</v>
      </c>
      <c r="D416" t="s">
        <v>166</v>
      </c>
      <c r="E416" t="s">
        <v>173</v>
      </c>
      <c r="F416">
        <v>124109</v>
      </c>
      <c r="G416" t="s">
        <v>24</v>
      </c>
      <c r="H416" t="s">
        <v>858</v>
      </c>
    </row>
    <row r="417" spans="1:8" x14ac:dyDescent="0.25">
      <c r="A417">
        <v>859</v>
      </c>
      <c r="B417">
        <v>988</v>
      </c>
      <c r="C417" t="s">
        <v>22</v>
      </c>
      <c r="D417" t="s">
        <v>508</v>
      </c>
      <c r="E417" t="s">
        <v>711</v>
      </c>
      <c r="F417">
        <v>121001</v>
      </c>
      <c r="G417" t="s">
        <v>39</v>
      </c>
      <c r="H417" t="s">
        <v>1169</v>
      </c>
    </row>
    <row r="418" spans="1:8" x14ac:dyDescent="0.25">
      <c r="A418">
        <v>620</v>
      </c>
      <c r="B418">
        <v>695</v>
      </c>
      <c r="C418" t="s">
        <v>22</v>
      </c>
      <c r="D418" t="s">
        <v>440</v>
      </c>
      <c r="E418" t="s">
        <v>525</v>
      </c>
      <c r="F418">
        <v>123106</v>
      </c>
      <c r="G418" t="s">
        <v>27</v>
      </c>
      <c r="H418" t="s">
        <v>1170</v>
      </c>
    </row>
    <row r="419" spans="1:8" x14ac:dyDescent="0.25">
      <c r="A419">
        <v>212</v>
      </c>
      <c r="B419">
        <v>816</v>
      </c>
      <c r="C419" t="s">
        <v>22</v>
      </c>
      <c r="D419" t="s">
        <v>166</v>
      </c>
      <c r="E419" t="s">
        <v>183</v>
      </c>
      <c r="F419">
        <v>124505</v>
      </c>
      <c r="G419" t="s">
        <v>27</v>
      </c>
      <c r="H419" t="s">
        <v>1171</v>
      </c>
    </row>
    <row r="420" spans="1:8" x14ac:dyDescent="0.25">
      <c r="A420">
        <v>212</v>
      </c>
      <c r="B420">
        <v>820</v>
      </c>
      <c r="C420" t="s">
        <v>22</v>
      </c>
      <c r="D420" t="s">
        <v>166</v>
      </c>
      <c r="E420" t="s">
        <v>183</v>
      </c>
      <c r="F420">
        <v>124505</v>
      </c>
      <c r="G420" t="s">
        <v>27</v>
      </c>
      <c r="H420" t="s">
        <v>1171</v>
      </c>
    </row>
    <row r="421" spans="1:8" x14ac:dyDescent="0.25">
      <c r="A421">
        <v>741</v>
      </c>
      <c r="B421">
        <v>849</v>
      </c>
      <c r="C421" t="s">
        <v>22</v>
      </c>
      <c r="D421" t="s">
        <v>239</v>
      </c>
      <c r="E421" t="s">
        <v>621</v>
      </c>
      <c r="F421">
        <v>136027</v>
      </c>
      <c r="G421" t="s">
        <v>30</v>
      </c>
      <c r="H421" t="s">
        <v>1172</v>
      </c>
    </row>
    <row r="422" spans="1:8" x14ac:dyDescent="0.25">
      <c r="A422">
        <v>199</v>
      </c>
      <c r="B422">
        <v>824</v>
      </c>
      <c r="C422" t="s">
        <v>22</v>
      </c>
      <c r="D422" t="s">
        <v>166</v>
      </c>
      <c r="E422" t="s">
        <v>169</v>
      </c>
      <c r="F422">
        <v>124107</v>
      </c>
      <c r="G422" t="s">
        <v>24</v>
      </c>
      <c r="H422" t="s">
        <v>1173</v>
      </c>
    </row>
    <row r="423" spans="1:8" x14ac:dyDescent="0.25">
      <c r="A423">
        <v>554</v>
      </c>
      <c r="B423">
        <v>1096</v>
      </c>
      <c r="C423" t="s">
        <v>22</v>
      </c>
      <c r="D423" t="s">
        <v>453</v>
      </c>
      <c r="E423" t="s">
        <v>468</v>
      </c>
      <c r="F423">
        <v>125060</v>
      </c>
      <c r="G423" t="s">
        <v>27</v>
      </c>
      <c r="H423" t="s">
        <v>960</v>
      </c>
    </row>
    <row r="424" spans="1:8" x14ac:dyDescent="0.25">
      <c r="A424">
        <v>59</v>
      </c>
      <c r="B424">
        <v>798</v>
      </c>
      <c r="C424" t="s">
        <v>22</v>
      </c>
      <c r="D424" t="s">
        <v>328</v>
      </c>
      <c r="E424" t="s">
        <v>497</v>
      </c>
      <c r="G424" t="s">
        <v>30</v>
      </c>
      <c r="H424" t="s">
        <v>1174</v>
      </c>
    </row>
    <row r="425" spans="1:8" x14ac:dyDescent="0.25">
      <c r="A425">
        <v>582</v>
      </c>
      <c r="B425">
        <v>558</v>
      </c>
      <c r="C425" t="s">
        <v>22</v>
      </c>
      <c r="D425" t="s">
        <v>140</v>
      </c>
      <c r="E425" t="s">
        <v>491</v>
      </c>
      <c r="F425">
        <v>135003</v>
      </c>
      <c r="G425" t="s">
        <v>30</v>
      </c>
      <c r="H425" t="s">
        <v>1175</v>
      </c>
    </row>
    <row r="426" spans="1:8" x14ac:dyDescent="0.25">
      <c r="A426">
        <v>626</v>
      </c>
      <c r="B426">
        <v>699</v>
      </c>
      <c r="C426" t="s">
        <v>22</v>
      </c>
      <c r="D426" t="s">
        <v>440</v>
      </c>
      <c r="E426" t="s">
        <v>531</v>
      </c>
      <c r="F426">
        <v>123401</v>
      </c>
      <c r="G426" t="s">
        <v>27</v>
      </c>
      <c r="H426" t="s">
        <v>1176</v>
      </c>
    </row>
    <row r="427" spans="1:8" x14ac:dyDescent="0.25">
      <c r="A427">
        <v>461</v>
      </c>
      <c r="B427">
        <v>731</v>
      </c>
      <c r="C427" t="s">
        <v>22</v>
      </c>
      <c r="D427" t="s">
        <v>367</v>
      </c>
      <c r="E427" t="s">
        <v>373</v>
      </c>
      <c r="F427">
        <v>132101</v>
      </c>
      <c r="G427" t="s">
        <v>24</v>
      </c>
      <c r="H427" t="s">
        <v>944</v>
      </c>
    </row>
    <row r="428" spans="1:8" x14ac:dyDescent="0.25">
      <c r="A428">
        <v>255</v>
      </c>
      <c r="B428">
        <v>1330</v>
      </c>
      <c r="C428" t="s">
        <v>22</v>
      </c>
      <c r="D428" t="s">
        <v>195</v>
      </c>
      <c r="E428" t="s">
        <v>228</v>
      </c>
      <c r="F428">
        <v>126102</v>
      </c>
      <c r="G428" t="s">
        <v>30</v>
      </c>
      <c r="H428" t="s">
        <v>1177</v>
      </c>
    </row>
    <row r="429" spans="1:8" x14ac:dyDescent="0.25">
      <c r="A429">
        <v>879</v>
      </c>
      <c r="B429">
        <v>720</v>
      </c>
      <c r="C429" t="s">
        <v>22</v>
      </c>
      <c r="D429" t="s">
        <v>239</v>
      </c>
      <c r="E429" t="s">
        <v>724</v>
      </c>
      <c r="F429">
        <v>136116</v>
      </c>
      <c r="G429" t="s">
        <v>27</v>
      </c>
      <c r="H429" t="s">
        <v>1178</v>
      </c>
    </row>
    <row r="430" spans="1:8" x14ac:dyDescent="0.25">
      <c r="A430">
        <v>994</v>
      </c>
      <c r="B430">
        <v>1067</v>
      </c>
      <c r="C430" t="s">
        <v>22</v>
      </c>
      <c r="D430" t="s">
        <v>42</v>
      </c>
      <c r="E430" t="s">
        <v>828</v>
      </c>
      <c r="F430">
        <v>125033</v>
      </c>
      <c r="G430" t="s">
        <v>30</v>
      </c>
      <c r="H430" t="s">
        <v>1179</v>
      </c>
    </row>
    <row r="431" spans="1:8" x14ac:dyDescent="0.25">
      <c r="A431">
        <v>538</v>
      </c>
      <c r="B431">
        <v>775</v>
      </c>
      <c r="C431" t="s">
        <v>22</v>
      </c>
      <c r="D431" t="s">
        <v>440</v>
      </c>
      <c r="E431" t="s">
        <v>449</v>
      </c>
      <c r="F431">
        <v>123101</v>
      </c>
      <c r="G431" t="s">
        <v>27</v>
      </c>
      <c r="H431" t="s">
        <v>1180</v>
      </c>
    </row>
    <row r="432" spans="1:8" x14ac:dyDescent="0.25">
      <c r="A432">
        <v>950</v>
      </c>
      <c r="B432">
        <v>1032</v>
      </c>
      <c r="C432" t="s">
        <v>22</v>
      </c>
      <c r="D432" t="s">
        <v>328</v>
      </c>
      <c r="E432" t="s">
        <v>790</v>
      </c>
      <c r="F432">
        <v>127046</v>
      </c>
      <c r="G432" t="s">
        <v>27</v>
      </c>
      <c r="H432" t="s">
        <v>1181</v>
      </c>
    </row>
    <row r="433" spans="1:8" x14ac:dyDescent="0.25">
      <c r="A433">
        <v>94</v>
      </c>
      <c r="B433">
        <v>1133</v>
      </c>
      <c r="C433" t="s">
        <v>22</v>
      </c>
      <c r="D433" t="s">
        <v>29</v>
      </c>
      <c r="E433" t="s">
        <v>779</v>
      </c>
      <c r="F433">
        <v>122503</v>
      </c>
      <c r="G433" t="s">
        <v>77</v>
      </c>
      <c r="H433" t="s">
        <v>1182</v>
      </c>
    </row>
    <row r="434" spans="1:8" x14ac:dyDescent="0.25">
      <c r="A434">
        <v>733</v>
      </c>
      <c r="B434">
        <v>689</v>
      </c>
      <c r="C434">
        <v>13</v>
      </c>
      <c r="D434" s="2" t="s">
        <v>241</v>
      </c>
      <c r="E434" t="s">
        <v>613</v>
      </c>
      <c r="F434">
        <v>136027</v>
      </c>
      <c r="G434" t="s">
        <v>30</v>
      </c>
      <c r="H434" t="s">
        <v>858</v>
      </c>
    </row>
    <row r="435" spans="1:8" x14ac:dyDescent="0.25">
      <c r="A435">
        <v>535</v>
      </c>
      <c r="B435">
        <v>715</v>
      </c>
      <c r="C435" t="s">
        <v>22</v>
      </c>
      <c r="D435" t="s">
        <v>440</v>
      </c>
      <c r="E435" t="s">
        <v>446</v>
      </c>
      <c r="F435">
        <v>123401</v>
      </c>
      <c r="G435" t="s">
        <v>62</v>
      </c>
      <c r="H435" t="s">
        <v>990</v>
      </c>
    </row>
    <row r="436" spans="1:8" x14ac:dyDescent="0.25">
      <c r="A436">
        <v>828</v>
      </c>
      <c r="B436">
        <v>744</v>
      </c>
      <c r="C436" t="s">
        <v>22</v>
      </c>
      <c r="D436" t="s">
        <v>453</v>
      </c>
      <c r="E436" t="s">
        <v>684</v>
      </c>
      <c r="F436">
        <v>125055</v>
      </c>
      <c r="G436" t="s">
        <v>30</v>
      </c>
      <c r="H436" t="s">
        <v>1183</v>
      </c>
    </row>
    <row r="437" spans="1:8" x14ac:dyDescent="0.25">
      <c r="A437">
        <v>846</v>
      </c>
      <c r="B437">
        <v>764</v>
      </c>
      <c r="C437" t="s">
        <v>22</v>
      </c>
      <c r="D437" t="s">
        <v>29</v>
      </c>
      <c r="E437" t="s">
        <v>702</v>
      </c>
      <c r="F437">
        <v>122002</v>
      </c>
      <c r="G437" t="s">
        <v>30</v>
      </c>
      <c r="H437" t="s">
        <v>1184</v>
      </c>
    </row>
    <row r="438" spans="1:8" x14ac:dyDescent="0.25">
      <c r="A438">
        <v>53</v>
      </c>
      <c r="B438">
        <v>799</v>
      </c>
      <c r="C438" t="s">
        <v>22</v>
      </c>
      <c r="D438" t="s">
        <v>328</v>
      </c>
      <c r="E438" t="s">
        <v>439</v>
      </c>
      <c r="G438" t="s">
        <v>30</v>
      </c>
      <c r="H438" t="s">
        <v>920</v>
      </c>
    </row>
    <row r="439" spans="1:8" x14ac:dyDescent="0.25">
      <c r="A439">
        <v>793</v>
      </c>
      <c r="B439">
        <v>954</v>
      </c>
      <c r="C439" t="s">
        <v>22</v>
      </c>
      <c r="D439" t="s">
        <v>32</v>
      </c>
      <c r="E439" t="s">
        <v>651</v>
      </c>
      <c r="G439" t="s">
        <v>27</v>
      </c>
      <c r="H439" t="s">
        <v>1185</v>
      </c>
    </row>
    <row r="440" spans="1:8" x14ac:dyDescent="0.25">
      <c r="A440">
        <v>53</v>
      </c>
      <c r="B440">
        <v>860</v>
      </c>
      <c r="C440" t="s">
        <v>22</v>
      </c>
      <c r="D440" t="s">
        <v>328</v>
      </c>
      <c r="E440" t="s">
        <v>439</v>
      </c>
      <c r="G440" t="s">
        <v>30</v>
      </c>
      <c r="H440" t="s">
        <v>853</v>
      </c>
    </row>
    <row r="441" spans="1:8" x14ac:dyDescent="0.25">
      <c r="A441">
        <v>1212</v>
      </c>
      <c r="B441">
        <v>1289</v>
      </c>
      <c r="C441" t="s">
        <v>22</v>
      </c>
      <c r="D441" t="s">
        <v>64</v>
      </c>
      <c r="E441" t="s">
        <v>92</v>
      </c>
      <c r="F441">
        <v>121102</v>
      </c>
      <c r="G441" t="s">
        <v>27</v>
      </c>
      <c r="H441" t="s">
        <v>1186</v>
      </c>
    </row>
    <row r="442" spans="1:8" x14ac:dyDescent="0.25">
      <c r="A442">
        <v>298</v>
      </c>
      <c r="B442">
        <v>757</v>
      </c>
      <c r="C442" t="s">
        <v>22</v>
      </c>
      <c r="D442" t="s">
        <v>254</v>
      </c>
      <c r="E442" t="s">
        <v>270</v>
      </c>
      <c r="F442">
        <v>132116</v>
      </c>
      <c r="G442" t="s">
        <v>27</v>
      </c>
      <c r="H442" t="s">
        <v>1187</v>
      </c>
    </row>
    <row r="443" spans="1:8" x14ac:dyDescent="0.25">
      <c r="A443">
        <v>477</v>
      </c>
      <c r="B443">
        <v>550</v>
      </c>
      <c r="C443" t="s">
        <v>22</v>
      </c>
      <c r="D443" t="s">
        <v>367</v>
      </c>
      <c r="E443" t="s">
        <v>390</v>
      </c>
      <c r="G443" t="s">
        <v>27</v>
      </c>
      <c r="H443" t="s">
        <v>1188</v>
      </c>
    </row>
    <row r="444" spans="1:8" x14ac:dyDescent="0.25">
      <c r="A444">
        <v>794</v>
      </c>
      <c r="B444">
        <v>979</v>
      </c>
      <c r="C444" t="s">
        <v>22</v>
      </c>
      <c r="D444" t="s">
        <v>32</v>
      </c>
      <c r="E444" t="s">
        <v>652</v>
      </c>
      <c r="G444" t="s">
        <v>27</v>
      </c>
      <c r="H444" t="s">
        <v>1034</v>
      </c>
    </row>
    <row r="445" spans="1:8" x14ac:dyDescent="0.25">
      <c r="A445">
        <v>870</v>
      </c>
      <c r="B445">
        <v>779</v>
      </c>
      <c r="C445" t="s">
        <v>22</v>
      </c>
      <c r="D445" t="s">
        <v>29</v>
      </c>
      <c r="E445" t="s">
        <v>1129</v>
      </c>
      <c r="F445">
        <v>122413</v>
      </c>
      <c r="G445" t="s">
        <v>30</v>
      </c>
      <c r="H445" t="s">
        <v>1130</v>
      </c>
    </row>
    <row r="446" spans="1:8" x14ac:dyDescent="0.25">
      <c r="A446">
        <v>439</v>
      </c>
      <c r="B446">
        <v>917</v>
      </c>
      <c r="C446" t="s">
        <v>22</v>
      </c>
      <c r="D446" t="s">
        <v>38</v>
      </c>
      <c r="E446" t="s">
        <v>361</v>
      </c>
      <c r="F446">
        <v>134204</v>
      </c>
      <c r="G446" t="s">
        <v>24</v>
      </c>
      <c r="H446" t="s">
        <v>1189</v>
      </c>
    </row>
    <row r="447" spans="1:8" x14ac:dyDescent="0.25">
      <c r="A447">
        <v>789</v>
      </c>
      <c r="B447">
        <v>1110</v>
      </c>
      <c r="C447" t="s">
        <v>22</v>
      </c>
      <c r="D447" t="s">
        <v>32</v>
      </c>
      <c r="E447" t="s">
        <v>647</v>
      </c>
      <c r="G447" t="s">
        <v>27</v>
      </c>
      <c r="H447" t="s">
        <v>858</v>
      </c>
    </row>
    <row r="448" spans="1:8" x14ac:dyDescent="0.25">
      <c r="A448">
        <v>281</v>
      </c>
      <c r="B448">
        <v>666</v>
      </c>
      <c r="C448" t="s">
        <v>22</v>
      </c>
      <c r="D448" t="s">
        <v>254</v>
      </c>
      <c r="E448" t="s">
        <v>257</v>
      </c>
      <c r="F448">
        <v>132114</v>
      </c>
      <c r="G448" t="s">
        <v>24</v>
      </c>
      <c r="H448" t="s">
        <v>1190</v>
      </c>
    </row>
    <row r="449" spans="1:8" x14ac:dyDescent="0.25">
      <c r="A449">
        <v>768</v>
      </c>
      <c r="B449">
        <v>483</v>
      </c>
      <c r="C449" t="s">
        <v>22</v>
      </c>
      <c r="D449" t="s">
        <v>367</v>
      </c>
      <c r="E449" t="s">
        <v>633</v>
      </c>
      <c r="F449">
        <v>132103</v>
      </c>
      <c r="G449" t="s">
        <v>632</v>
      </c>
      <c r="H449" t="s">
        <v>1191</v>
      </c>
    </row>
    <row r="450" spans="1:8" x14ac:dyDescent="0.25">
      <c r="A450">
        <v>722</v>
      </c>
      <c r="B450">
        <v>745</v>
      </c>
      <c r="C450" t="s">
        <v>22</v>
      </c>
      <c r="D450" t="s">
        <v>239</v>
      </c>
      <c r="E450" t="s">
        <v>602</v>
      </c>
      <c r="F450">
        <v>136116</v>
      </c>
      <c r="G450" t="s">
        <v>27</v>
      </c>
      <c r="H450" t="s">
        <v>1192</v>
      </c>
    </row>
    <row r="451" spans="1:8" x14ac:dyDescent="0.25">
      <c r="A451">
        <v>294</v>
      </c>
      <c r="B451">
        <v>396</v>
      </c>
      <c r="C451" t="s">
        <v>22</v>
      </c>
      <c r="D451" t="s">
        <v>254</v>
      </c>
      <c r="E451" t="s">
        <v>267</v>
      </c>
      <c r="F451">
        <v>132114</v>
      </c>
      <c r="G451" t="s">
        <v>27</v>
      </c>
      <c r="H451" t="s">
        <v>893</v>
      </c>
    </row>
    <row r="452" spans="1:8" x14ac:dyDescent="0.25">
      <c r="A452">
        <v>354</v>
      </c>
      <c r="B452">
        <v>412</v>
      </c>
      <c r="C452" t="s">
        <v>22</v>
      </c>
      <c r="D452" t="s">
        <v>298</v>
      </c>
      <c r="E452" t="s">
        <v>302</v>
      </c>
      <c r="F452">
        <v>136130</v>
      </c>
      <c r="G452" t="s">
        <v>24</v>
      </c>
      <c r="H452" t="s">
        <v>1193</v>
      </c>
    </row>
    <row r="453" spans="1:8" x14ac:dyDescent="0.25">
      <c r="A453">
        <v>75</v>
      </c>
      <c r="B453">
        <v>501</v>
      </c>
      <c r="C453" t="s">
        <v>22</v>
      </c>
      <c r="D453" t="s">
        <v>29</v>
      </c>
      <c r="E453" t="s">
        <v>628</v>
      </c>
      <c r="G453" t="s">
        <v>30</v>
      </c>
      <c r="H453" t="s">
        <v>1194</v>
      </c>
    </row>
    <row r="454" spans="1:8" x14ac:dyDescent="0.25">
      <c r="A454">
        <v>474</v>
      </c>
      <c r="B454">
        <v>851</v>
      </c>
      <c r="C454" t="s">
        <v>22</v>
      </c>
      <c r="D454" t="s">
        <v>367</v>
      </c>
      <c r="E454" t="s">
        <v>387</v>
      </c>
      <c r="F454">
        <v>132102</v>
      </c>
      <c r="G454" t="s">
        <v>27</v>
      </c>
      <c r="H454" t="s">
        <v>1195</v>
      </c>
    </row>
    <row r="455" spans="1:8" x14ac:dyDescent="0.25">
      <c r="A455">
        <v>129</v>
      </c>
      <c r="B455">
        <v>1057</v>
      </c>
      <c r="C455" t="s">
        <v>22</v>
      </c>
      <c r="D455" t="s">
        <v>42</v>
      </c>
      <c r="E455" t="s">
        <v>111</v>
      </c>
      <c r="F455">
        <v>125121</v>
      </c>
      <c r="G455" t="s">
        <v>27</v>
      </c>
      <c r="H455" t="s">
        <v>1196</v>
      </c>
    </row>
    <row r="456" spans="1:8" x14ac:dyDescent="0.25">
      <c r="A456">
        <v>547</v>
      </c>
      <c r="B456">
        <v>864</v>
      </c>
      <c r="C456" t="s">
        <v>22</v>
      </c>
      <c r="D456" t="s">
        <v>453</v>
      </c>
      <c r="E456" t="s">
        <v>461</v>
      </c>
      <c r="F456">
        <v>125055</v>
      </c>
      <c r="G456" t="s">
        <v>62</v>
      </c>
      <c r="H456" t="s">
        <v>1197</v>
      </c>
    </row>
    <row r="457" spans="1:8" x14ac:dyDescent="0.25">
      <c r="A457">
        <v>106</v>
      </c>
      <c r="B457">
        <v>886</v>
      </c>
      <c r="C457" t="s">
        <v>22</v>
      </c>
      <c r="D457" t="s">
        <v>42</v>
      </c>
      <c r="E457" t="s">
        <v>57</v>
      </c>
      <c r="F457">
        <v>125049</v>
      </c>
      <c r="G457" t="s">
        <v>24</v>
      </c>
      <c r="H457" t="s">
        <v>1198</v>
      </c>
    </row>
    <row r="458" spans="1:8" x14ac:dyDescent="0.25">
      <c r="A458">
        <v>916</v>
      </c>
      <c r="B458">
        <v>869</v>
      </c>
      <c r="C458" t="s">
        <v>22</v>
      </c>
      <c r="D458" t="s">
        <v>440</v>
      </c>
      <c r="E458" t="s">
        <v>757</v>
      </c>
      <c r="F458">
        <v>123402</v>
      </c>
      <c r="G458" t="s">
        <v>30</v>
      </c>
      <c r="H458" t="s">
        <v>1199</v>
      </c>
    </row>
    <row r="459" spans="1:8" x14ac:dyDescent="0.25">
      <c r="A459">
        <v>53</v>
      </c>
      <c r="B459">
        <v>875</v>
      </c>
      <c r="C459" t="s">
        <v>22</v>
      </c>
      <c r="D459" t="s">
        <v>328</v>
      </c>
      <c r="E459" t="s">
        <v>439</v>
      </c>
      <c r="G459" t="s">
        <v>30</v>
      </c>
      <c r="H459" t="s">
        <v>1200</v>
      </c>
    </row>
    <row r="460" spans="1:8" x14ac:dyDescent="0.25">
      <c r="A460">
        <v>104</v>
      </c>
      <c r="B460">
        <v>963</v>
      </c>
      <c r="C460" t="s">
        <v>22</v>
      </c>
      <c r="D460" t="s">
        <v>42</v>
      </c>
      <c r="E460" t="s">
        <v>55</v>
      </c>
      <c r="F460">
        <v>125052</v>
      </c>
      <c r="G460" t="s">
        <v>24</v>
      </c>
      <c r="H460" t="s">
        <v>960</v>
      </c>
    </row>
    <row r="461" spans="1:8" x14ac:dyDescent="0.25">
      <c r="A461">
        <v>774</v>
      </c>
      <c r="B461">
        <v>1087</v>
      </c>
      <c r="C461" t="s">
        <v>22</v>
      </c>
      <c r="D461" t="s">
        <v>32</v>
      </c>
      <c r="E461" t="s">
        <v>636</v>
      </c>
      <c r="F461">
        <v>125050</v>
      </c>
      <c r="G461" t="s">
        <v>24</v>
      </c>
      <c r="H461" t="s">
        <v>858</v>
      </c>
    </row>
    <row r="462" spans="1:8" x14ac:dyDescent="0.25">
      <c r="A462">
        <v>30</v>
      </c>
      <c r="B462">
        <v>924</v>
      </c>
      <c r="C462" t="s">
        <v>22</v>
      </c>
      <c r="D462" t="s">
        <v>23</v>
      </c>
      <c r="E462" t="s">
        <v>273</v>
      </c>
      <c r="F462">
        <v>133001</v>
      </c>
      <c r="G462" t="s">
        <v>30</v>
      </c>
      <c r="H462" t="s">
        <v>1201</v>
      </c>
    </row>
    <row r="463" spans="1:8" x14ac:dyDescent="0.25">
      <c r="A463">
        <v>359</v>
      </c>
      <c r="B463">
        <v>845</v>
      </c>
      <c r="C463" t="s">
        <v>22</v>
      </c>
      <c r="D463" t="s">
        <v>298</v>
      </c>
      <c r="E463" t="s">
        <v>307</v>
      </c>
      <c r="F463">
        <v>136119</v>
      </c>
      <c r="G463" t="s">
        <v>27</v>
      </c>
      <c r="H463" t="s">
        <v>848</v>
      </c>
    </row>
    <row r="464" spans="1:8" x14ac:dyDescent="0.25">
      <c r="A464">
        <v>777</v>
      </c>
      <c r="B464">
        <v>956</v>
      </c>
      <c r="C464" t="s">
        <v>22</v>
      </c>
      <c r="D464" t="s">
        <v>32</v>
      </c>
      <c r="E464" t="s">
        <v>639</v>
      </c>
      <c r="G464" t="s">
        <v>24</v>
      </c>
      <c r="H464" t="s">
        <v>1202</v>
      </c>
    </row>
    <row r="465" spans="1:8" x14ac:dyDescent="0.25">
      <c r="A465">
        <v>986</v>
      </c>
      <c r="B465">
        <v>974</v>
      </c>
      <c r="C465" t="s">
        <v>22</v>
      </c>
      <c r="D465" t="s">
        <v>328</v>
      </c>
      <c r="E465" t="s">
        <v>821</v>
      </c>
      <c r="F465">
        <v>127111</v>
      </c>
      <c r="G465" t="s">
        <v>27</v>
      </c>
      <c r="H465" t="s">
        <v>1203</v>
      </c>
    </row>
    <row r="466" spans="1:8" x14ac:dyDescent="0.25">
      <c r="A466">
        <v>112</v>
      </c>
      <c r="B466">
        <v>858</v>
      </c>
      <c r="C466" t="s">
        <v>22</v>
      </c>
      <c r="D466" t="s">
        <v>42</v>
      </c>
      <c r="E466" t="s">
        <v>69</v>
      </c>
      <c r="F466">
        <v>125001</v>
      </c>
      <c r="G466" t="s">
        <v>68</v>
      </c>
      <c r="H466" t="s">
        <v>932</v>
      </c>
    </row>
    <row r="467" spans="1:8" x14ac:dyDescent="0.25">
      <c r="A467">
        <v>924</v>
      </c>
      <c r="B467">
        <v>873</v>
      </c>
      <c r="C467" t="s">
        <v>22</v>
      </c>
      <c r="D467" t="s">
        <v>23</v>
      </c>
      <c r="E467" t="s">
        <v>765</v>
      </c>
      <c r="F467">
        <v>134003</v>
      </c>
      <c r="G467" t="s">
        <v>30</v>
      </c>
      <c r="H467" t="s">
        <v>1204</v>
      </c>
    </row>
    <row r="468" spans="1:8" x14ac:dyDescent="0.25">
      <c r="A468">
        <v>50</v>
      </c>
      <c r="B468">
        <v>882</v>
      </c>
      <c r="C468" t="s">
        <v>22</v>
      </c>
      <c r="D468" t="s">
        <v>328</v>
      </c>
      <c r="E468" t="s">
        <v>411</v>
      </c>
      <c r="G468" t="s">
        <v>30</v>
      </c>
      <c r="H468" t="s">
        <v>1205</v>
      </c>
    </row>
    <row r="469" spans="1:8" x14ac:dyDescent="0.25">
      <c r="A469">
        <v>426</v>
      </c>
      <c r="B469">
        <v>588</v>
      </c>
      <c r="C469" t="s">
        <v>22</v>
      </c>
      <c r="D469" t="s">
        <v>333</v>
      </c>
      <c r="E469" t="s">
        <v>348</v>
      </c>
      <c r="F469">
        <v>122107</v>
      </c>
      <c r="G469" t="s">
        <v>27</v>
      </c>
      <c r="H469" t="s">
        <v>929</v>
      </c>
    </row>
    <row r="470" spans="1:8" x14ac:dyDescent="0.25">
      <c r="A470">
        <v>926</v>
      </c>
      <c r="B470">
        <v>883</v>
      </c>
      <c r="C470" t="s">
        <v>22</v>
      </c>
      <c r="D470" t="s">
        <v>23</v>
      </c>
      <c r="E470" t="s">
        <v>767</v>
      </c>
      <c r="F470">
        <v>134004</v>
      </c>
      <c r="G470" t="s">
        <v>30</v>
      </c>
      <c r="H470" t="s">
        <v>1206</v>
      </c>
    </row>
    <row r="471" spans="1:8" x14ac:dyDescent="0.25">
      <c r="A471">
        <v>113</v>
      </c>
      <c r="B471">
        <v>887</v>
      </c>
      <c r="C471" t="s">
        <v>22</v>
      </c>
      <c r="D471" t="s">
        <v>42</v>
      </c>
      <c r="E471" t="s">
        <v>70</v>
      </c>
      <c r="F471">
        <v>125001</v>
      </c>
      <c r="G471" t="s">
        <v>27</v>
      </c>
      <c r="H471" t="s">
        <v>918</v>
      </c>
    </row>
    <row r="472" spans="1:8" x14ac:dyDescent="0.25">
      <c r="A472">
        <v>53</v>
      </c>
      <c r="B472">
        <v>863</v>
      </c>
      <c r="C472" t="s">
        <v>22</v>
      </c>
      <c r="D472" t="s">
        <v>328</v>
      </c>
      <c r="E472" t="s">
        <v>439</v>
      </c>
      <c r="G472" t="s">
        <v>30</v>
      </c>
      <c r="H472" t="s">
        <v>853</v>
      </c>
    </row>
    <row r="473" spans="1:8" x14ac:dyDescent="0.25">
      <c r="A473">
        <v>42</v>
      </c>
      <c r="B473">
        <v>852</v>
      </c>
      <c r="C473" t="s">
        <v>22</v>
      </c>
      <c r="D473" t="s">
        <v>328</v>
      </c>
      <c r="E473" t="s">
        <v>341</v>
      </c>
      <c r="G473" t="s">
        <v>30</v>
      </c>
      <c r="H473" t="s">
        <v>1207</v>
      </c>
    </row>
    <row r="474" spans="1:8" x14ac:dyDescent="0.25">
      <c r="A474">
        <v>781</v>
      </c>
      <c r="B474">
        <v>1088</v>
      </c>
      <c r="C474" t="s">
        <v>22</v>
      </c>
      <c r="D474" t="s">
        <v>32</v>
      </c>
      <c r="E474" t="s">
        <v>643</v>
      </c>
      <c r="F474">
        <v>125051</v>
      </c>
      <c r="G474" t="s">
        <v>27</v>
      </c>
      <c r="H474" t="s">
        <v>867</v>
      </c>
    </row>
    <row r="475" spans="1:8" x14ac:dyDescent="0.25">
      <c r="A475">
        <v>108</v>
      </c>
      <c r="B475">
        <v>962</v>
      </c>
      <c r="C475" t="s">
        <v>22</v>
      </c>
      <c r="D475" t="s">
        <v>42</v>
      </c>
      <c r="E475" t="s">
        <v>59</v>
      </c>
      <c r="F475">
        <v>125039</v>
      </c>
      <c r="G475" t="s">
        <v>24</v>
      </c>
      <c r="H475" t="s">
        <v>1208</v>
      </c>
    </row>
    <row r="476" spans="1:8" x14ac:dyDescent="0.25">
      <c r="A476">
        <v>48</v>
      </c>
      <c r="B476">
        <v>915</v>
      </c>
      <c r="C476" t="s">
        <v>22</v>
      </c>
      <c r="D476" t="s">
        <v>328</v>
      </c>
      <c r="E476" t="s">
        <v>393</v>
      </c>
      <c r="F476">
        <v>127021</v>
      </c>
      <c r="G476" t="s">
        <v>30</v>
      </c>
      <c r="H476" t="s">
        <v>1209</v>
      </c>
    </row>
    <row r="477" spans="1:8" x14ac:dyDescent="0.25">
      <c r="A477">
        <v>970</v>
      </c>
      <c r="B477">
        <v>950</v>
      </c>
      <c r="C477" t="s">
        <v>22</v>
      </c>
      <c r="D477" t="s">
        <v>328</v>
      </c>
      <c r="E477" t="s">
        <v>811</v>
      </c>
      <c r="F477">
        <v>127029</v>
      </c>
      <c r="G477" t="s">
        <v>77</v>
      </c>
      <c r="H477" t="s">
        <v>858</v>
      </c>
    </row>
    <row r="478" spans="1:8" x14ac:dyDescent="0.25">
      <c r="A478">
        <v>984</v>
      </c>
      <c r="B478">
        <v>960</v>
      </c>
      <c r="C478" t="s">
        <v>22</v>
      </c>
      <c r="D478" t="s">
        <v>328</v>
      </c>
      <c r="E478" t="s">
        <v>820</v>
      </c>
      <c r="F478">
        <v>127044</v>
      </c>
      <c r="G478" t="s">
        <v>30</v>
      </c>
      <c r="H478" t="s">
        <v>853</v>
      </c>
    </row>
    <row r="479" spans="1:8" x14ac:dyDescent="0.25">
      <c r="A479">
        <v>116</v>
      </c>
      <c r="B479">
        <v>871</v>
      </c>
      <c r="C479" t="s">
        <v>22</v>
      </c>
      <c r="D479" t="s">
        <v>42</v>
      </c>
      <c r="E479" t="s">
        <v>73</v>
      </c>
      <c r="F479">
        <v>125001</v>
      </c>
      <c r="G479" t="s">
        <v>27</v>
      </c>
      <c r="H479" t="s">
        <v>1210</v>
      </c>
    </row>
    <row r="480" spans="1:8" x14ac:dyDescent="0.25">
      <c r="A480">
        <v>966</v>
      </c>
      <c r="B480">
        <v>947</v>
      </c>
      <c r="C480" t="s">
        <v>22</v>
      </c>
      <c r="D480" t="s">
        <v>328</v>
      </c>
      <c r="E480" t="s">
        <v>806</v>
      </c>
      <c r="F480">
        <v>127114</v>
      </c>
      <c r="G480" t="s">
        <v>30</v>
      </c>
      <c r="H480" t="s">
        <v>1211</v>
      </c>
    </row>
    <row r="481" spans="1:8" x14ac:dyDescent="0.25">
      <c r="A481">
        <v>962</v>
      </c>
      <c r="B481">
        <v>919</v>
      </c>
      <c r="C481" t="s">
        <v>22</v>
      </c>
      <c r="D481" t="s">
        <v>328</v>
      </c>
      <c r="E481" t="s">
        <v>803</v>
      </c>
      <c r="F481">
        <v>127029</v>
      </c>
      <c r="G481" t="s">
        <v>30</v>
      </c>
      <c r="H481" t="s">
        <v>1212</v>
      </c>
    </row>
    <row r="482" spans="1:8" x14ac:dyDescent="0.25">
      <c r="A482">
        <v>53</v>
      </c>
      <c r="B482">
        <v>866</v>
      </c>
      <c r="C482" t="s">
        <v>22</v>
      </c>
      <c r="D482" t="s">
        <v>328</v>
      </c>
      <c r="E482" t="s">
        <v>439</v>
      </c>
      <c r="G482" t="s">
        <v>30</v>
      </c>
      <c r="H482" t="s">
        <v>853</v>
      </c>
    </row>
    <row r="483" spans="1:8" x14ac:dyDescent="0.25">
      <c r="A483">
        <v>54</v>
      </c>
      <c r="B483">
        <v>806</v>
      </c>
      <c r="C483" t="s">
        <v>22</v>
      </c>
      <c r="D483" t="s">
        <v>328</v>
      </c>
      <c r="E483" t="s">
        <v>451</v>
      </c>
      <c r="G483" t="s">
        <v>30</v>
      </c>
      <c r="H483" t="s">
        <v>1213</v>
      </c>
    </row>
    <row r="484" spans="1:8" x14ac:dyDescent="0.25">
      <c r="A484">
        <v>58</v>
      </c>
      <c r="B484">
        <v>833</v>
      </c>
      <c r="C484" t="s">
        <v>22</v>
      </c>
      <c r="D484" t="s">
        <v>328</v>
      </c>
      <c r="E484" t="s">
        <v>488</v>
      </c>
      <c r="G484" t="s">
        <v>30</v>
      </c>
      <c r="H484" t="s">
        <v>1214</v>
      </c>
    </row>
    <row r="485" spans="1:8" x14ac:dyDescent="0.25">
      <c r="A485">
        <v>53</v>
      </c>
      <c r="B485">
        <v>876</v>
      </c>
      <c r="C485" t="s">
        <v>22</v>
      </c>
      <c r="D485" t="s">
        <v>328</v>
      </c>
      <c r="E485" t="s">
        <v>439</v>
      </c>
      <c r="G485" t="s">
        <v>30</v>
      </c>
      <c r="H485" t="s">
        <v>1200</v>
      </c>
    </row>
    <row r="486" spans="1:8" x14ac:dyDescent="0.25">
      <c r="A486">
        <v>53</v>
      </c>
      <c r="B486">
        <v>877</v>
      </c>
      <c r="C486" t="s">
        <v>22</v>
      </c>
      <c r="D486" t="s">
        <v>328</v>
      </c>
      <c r="E486" t="s">
        <v>439</v>
      </c>
      <c r="G486" t="s">
        <v>30</v>
      </c>
      <c r="H486" t="s">
        <v>1200</v>
      </c>
    </row>
    <row r="487" spans="1:8" x14ac:dyDescent="0.25">
      <c r="A487">
        <v>53</v>
      </c>
      <c r="B487">
        <v>878</v>
      </c>
      <c r="C487" t="s">
        <v>22</v>
      </c>
      <c r="D487" t="s">
        <v>328</v>
      </c>
      <c r="E487" t="s">
        <v>439</v>
      </c>
      <c r="G487" t="s">
        <v>30</v>
      </c>
      <c r="H487" t="s">
        <v>1200</v>
      </c>
    </row>
    <row r="488" spans="1:8" x14ac:dyDescent="0.25">
      <c r="A488">
        <v>94</v>
      </c>
      <c r="B488">
        <v>1137</v>
      </c>
      <c r="C488" t="s">
        <v>22</v>
      </c>
      <c r="D488" t="s">
        <v>29</v>
      </c>
      <c r="E488" t="s">
        <v>779</v>
      </c>
      <c r="F488">
        <v>122503</v>
      </c>
      <c r="G488" t="s">
        <v>77</v>
      </c>
      <c r="H488" t="s">
        <v>1167</v>
      </c>
    </row>
    <row r="489" spans="1:8" x14ac:dyDescent="0.25">
      <c r="A489">
        <v>958</v>
      </c>
      <c r="B489">
        <v>1043</v>
      </c>
      <c r="C489" t="s">
        <v>22</v>
      </c>
      <c r="D489" t="s">
        <v>328</v>
      </c>
      <c r="E489" t="s">
        <v>798</v>
      </c>
      <c r="F489">
        <v>127041</v>
      </c>
      <c r="G489" t="s">
        <v>27</v>
      </c>
      <c r="H489" t="s">
        <v>853</v>
      </c>
    </row>
    <row r="490" spans="1:8" x14ac:dyDescent="0.25">
      <c r="A490">
        <v>53</v>
      </c>
      <c r="B490">
        <v>879</v>
      </c>
      <c r="C490" t="s">
        <v>22</v>
      </c>
      <c r="D490" t="s">
        <v>328</v>
      </c>
      <c r="E490" t="s">
        <v>439</v>
      </c>
      <c r="G490" t="s">
        <v>30</v>
      </c>
      <c r="H490" t="s">
        <v>1215</v>
      </c>
    </row>
    <row r="491" spans="1:8" x14ac:dyDescent="0.25">
      <c r="A491">
        <v>53</v>
      </c>
      <c r="B491">
        <v>880</v>
      </c>
      <c r="C491" t="s">
        <v>22</v>
      </c>
      <c r="D491" t="s">
        <v>328</v>
      </c>
      <c r="E491" t="s">
        <v>439</v>
      </c>
      <c r="G491" t="s">
        <v>30</v>
      </c>
      <c r="H491" t="s">
        <v>1215</v>
      </c>
    </row>
    <row r="492" spans="1:8" x14ac:dyDescent="0.25">
      <c r="A492">
        <v>13</v>
      </c>
      <c r="B492">
        <v>800</v>
      </c>
      <c r="C492" t="s">
        <v>22</v>
      </c>
      <c r="D492" t="s">
        <v>23</v>
      </c>
      <c r="E492" t="s">
        <v>112</v>
      </c>
      <c r="F492">
        <v>134007</v>
      </c>
      <c r="G492" t="s">
        <v>27</v>
      </c>
      <c r="H492" t="s">
        <v>1216</v>
      </c>
    </row>
    <row r="493" spans="1:8" x14ac:dyDescent="0.25">
      <c r="A493">
        <v>53</v>
      </c>
      <c r="B493">
        <v>881</v>
      </c>
      <c r="C493" t="s">
        <v>22</v>
      </c>
      <c r="D493" t="s">
        <v>328</v>
      </c>
      <c r="E493" t="s">
        <v>439</v>
      </c>
      <c r="G493" t="s">
        <v>30</v>
      </c>
      <c r="H493" t="s">
        <v>1215</v>
      </c>
    </row>
    <row r="494" spans="1:8" x14ac:dyDescent="0.25">
      <c r="A494">
        <v>50</v>
      </c>
      <c r="B494">
        <v>872</v>
      </c>
      <c r="C494" t="s">
        <v>22</v>
      </c>
      <c r="D494" t="s">
        <v>328</v>
      </c>
      <c r="E494" t="s">
        <v>411</v>
      </c>
      <c r="G494" t="s">
        <v>30</v>
      </c>
      <c r="H494" t="s">
        <v>1217</v>
      </c>
    </row>
    <row r="495" spans="1:8" x14ac:dyDescent="0.25">
      <c r="A495">
        <v>941</v>
      </c>
      <c r="B495">
        <v>939</v>
      </c>
      <c r="C495" t="s">
        <v>22</v>
      </c>
      <c r="D495" t="s">
        <v>328</v>
      </c>
      <c r="E495" t="s">
        <v>781</v>
      </c>
      <c r="F495">
        <v>127021</v>
      </c>
      <c r="G495" t="s">
        <v>27</v>
      </c>
      <c r="H495" t="s">
        <v>858</v>
      </c>
    </row>
    <row r="496" spans="1:8" x14ac:dyDescent="0.25">
      <c r="A496">
        <v>14</v>
      </c>
      <c r="B496">
        <v>911</v>
      </c>
      <c r="C496" t="s">
        <v>22</v>
      </c>
      <c r="D496" t="s">
        <v>23</v>
      </c>
      <c r="E496" t="s">
        <v>123</v>
      </c>
      <c r="F496">
        <v>134003</v>
      </c>
      <c r="G496" t="s">
        <v>27</v>
      </c>
      <c r="H496" t="s">
        <v>1218</v>
      </c>
    </row>
    <row r="497" spans="1:8" x14ac:dyDescent="0.25">
      <c r="A497">
        <v>950</v>
      </c>
      <c r="B497">
        <v>1033</v>
      </c>
      <c r="C497" t="s">
        <v>22</v>
      </c>
      <c r="D497" t="s">
        <v>328</v>
      </c>
      <c r="E497" t="s">
        <v>790</v>
      </c>
      <c r="F497">
        <v>127046</v>
      </c>
      <c r="G497" t="s">
        <v>27</v>
      </c>
      <c r="H497" t="s">
        <v>1181</v>
      </c>
    </row>
    <row r="498" spans="1:8" x14ac:dyDescent="0.25">
      <c r="A498">
        <v>94</v>
      </c>
      <c r="B498">
        <v>1134</v>
      </c>
      <c r="C498" t="s">
        <v>22</v>
      </c>
      <c r="D498" t="s">
        <v>29</v>
      </c>
      <c r="E498" t="s">
        <v>779</v>
      </c>
      <c r="F498">
        <v>122503</v>
      </c>
      <c r="G498" t="s">
        <v>77</v>
      </c>
      <c r="H498" t="s">
        <v>1219</v>
      </c>
    </row>
    <row r="499" spans="1:8" x14ac:dyDescent="0.25">
      <c r="A499">
        <v>837</v>
      </c>
      <c r="B499">
        <v>916</v>
      </c>
      <c r="C499" t="s">
        <v>22</v>
      </c>
      <c r="D499" t="s">
        <v>453</v>
      </c>
      <c r="E499" t="s">
        <v>694</v>
      </c>
      <c r="F499">
        <v>125055</v>
      </c>
      <c r="G499" t="s">
        <v>30</v>
      </c>
      <c r="H499" t="s">
        <v>1220</v>
      </c>
    </row>
    <row r="500" spans="1:8" x14ac:dyDescent="0.25">
      <c r="A500">
        <v>43</v>
      </c>
      <c r="B500">
        <v>890</v>
      </c>
      <c r="C500" t="s">
        <v>22</v>
      </c>
      <c r="D500" t="s">
        <v>328</v>
      </c>
      <c r="E500" t="s">
        <v>352</v>
      </c>
      <c r="G500" t="s">
        <v>30</v>
      </c>
      <c r="H500" t="s">
        <v>1221</v>
      </c>
    </row>
    <row r="501" spans="1:8" x14ac:dyDescent="0.25">
      <c r="A501">
        <v>943</v>
      </c>
      <c r="B501">
        <v>942</v>
      </c>
      <c r="C501" t="s">
        <v>22</v>
      </c>
      <c r="D501" t="s">
        <v>328</v>
      </c>
      <c r="E501" t="s">
        <v>783</v>
      </c>
      <c r="F501">
        <v>127021</v>
      </c>
      <c r="G501" t="s">
        <v>27</v>
      </c>
      <c r="H501" t="s">
        <v>1222</v>
      </c>
    </row>
    <row r="502" spans="1:8" x14ac:dyDescent="0.25">
      <c r="A502">
        <v>905</v>
      </c>
      <c r="B502">
        <v>885</v>
      </c>
      <c r="C502" t="s">
        <v>22</v>
      </c>
      <c r="D502" t="s">
        <v>23</v>
      </c>
      <c r="E502" t="s">
        <v>747</v>
      </c>
      <c r="F502">
        <v>123456</v>
      </c>
      <c r="G502" t="s">
        <v>30</v>
      </c>
      <c r="H502" t="s">
        <v>1223</v>
      </c>
    </row>
    <row r="503" spans="1:8" x14ac:dyDescent="0.25">
      <c r="A503">
        <v>818</v>
      </c>
      <c r="B503">
        <v>894</v>
      </c>
      <c r="C503" t="s">
        <v>22</v>
      </c>
      <c r="D503" t="s">
        <v>453</v>
      </c>
      <c r="E503" t="s">
        <v>675</v>
      </c>
      <c r="F503">
        <v>125055</v>
      </c>
      <c r="G503" t="s">
        <v>30</v>
      </c>
      <c r="H503" t="s">
        <v>1224</v>
      </c>
    </row>
    <row r="504" spans="1:8" x14ac:dyDescent="0.25">
      <c r="A504">
        <v>556</v>
      </c>
      <c r="B504">
        <v>793</v>
      </c>
      <c r="C504" t="s">
        <v>22</v>
      </c>
      <c r="D504" t="s">
        <v>453</v>
      </c>
      <c r="E504" t="s">
        <v>469</v>
      </c>
      <c r="F504">
        <v>125055</v>
      </c>
      <c r="G504" t="s">
        <v>27</v>
      </c>
      <c r="H504" t="s">
        <v>1225</v>
      </c>
    </row>
    <row r="505" spans="1:8" x14ac:dyDescent="0.25">
      <c r="A505">
        <v>964</v>
      </c>
      <c r="B505">
        <v>910</v>
      </c>
      <c r="C505" t="s">
        <v>22</v>
      </c>
      <c r="D505" t="s">
        <v>328</v>
      </c>
      <c r="E505" t="s">
        <v>804</v>
      </c>
      <c r="F505">
        <v>127040</v>
      </c>
      <c r="G505" t="s">
        <v>30</v>
      </c>
      <c r="H505" t="s">
        <v>1226</v>
      </c>
    </row>
    <row r="506" spans="1:8" x14ac:dyDescent="0.25">
      <c r="A506">
        <v>913</v>
      </c>
      <c r="B506">
        <v>934</v>
      </c>
      <c r="C506" t="s">
        <v>22</v>
      </c>
      <c r="D506" t="s">
        <v>440</v>
      </c>
      <c r="E506" t="s">
        <v>755</v>
      </c>
      <c r="F506">
        <v>123401</v>
      </c>
      <c r="G506" t="s">
        <v>30</v>
      </c>
      <c r="H506" t="s">
        <v>1227</v>
      </c>
    </row>
    <row r="507" spans="1:8" x14ac:dyDescent="0.25">
      <c r="A507">
        <v>940</v>
      </c>
      <c r="B507">
        <v>958</v>
      </c>
      <c r="C507" t="s">
        <v>22</v>
      </c>
      <c r="D507" t="s">
        <v>328</v>
      </c>
      <c r="E507" t="s">
        <v>780</v>
      </c>
      <c r="F507">
        <v>127043</v>
      </c>
      <c r="G507" t="s">
        <v>27</v>
      </c>
      <c r="H507" t="s">
        <v>1228</v>
      </c>
    </row>
    <row r="508" spans="1:8" x14ac:dyDescent="0.25">
      <c r="A508">
        <v>10</v>
      </c>
      <c r="B508">
        <v>905</v>
      </c>
      <c r="C508" t="s">
        <v>22</v>
      </c>
      <c r="D508" t="s">
        <v>23</v>
      </c>
      <c r="E508" t="s">
        <v>28</v>
      </c>
      <c r="F508">
        <v>133005</v>
      </c>
      <c r="G508" t="s">
        <v>27</v>
      </c>
      <c r="H508" t="s">
        <v>1216</v>
      </c>
    </row>
    <row r="509" spans="1:8" x14ac:dyDescent="0.25">
      <c r="A509">
        <v>927</v>
      </c>
      <c r="B509">
        <v>892</v>
      </c>
      <c r="C509" t="s">
        <v>22</v>
      </c>
      <c r="D509" t="s">
        <v>23</v>
      </c>
      <c r="E509" t="s">
        <v>768</v>
      </c>
      <c r="F509">
        <v>134005</v>
      </c>
      <c r="G509" t="s">
        <v>30</v>
      </c>
      <c r="H509" t="s">
        <v>1229</v>
      </c>
    </row>
    <row r="510" spans="1:8" x14ac:dyDescent="0.25">
      <c r="A510">
        <v>827</v>
      </c>
      <c r="B510">
        <v>898</v>
      </c>
      <c r="C510" t="s">
        <v>22</v>
      </c>
      <c r="D510" t="s">
        <v>453</v>
      </c>
      <c r="E510" t="s">
        <v>683</v>
      </c>
      <c r="F510">
        <v>125055</v>
      </c>
      <c r="G510" t="s">
        <v>30</v>
      </c>
      <c r="H510" t="s">
        <v>1230</v>
      </c>
    </row>
    <row r="511" spans="1:8" x14ac:dyDescent="0.25">
      <c r="A511">
        <v>9</v>
      </c>
      <c r="B511">
        <v>912</v>
      </c>
      <c r="C511" t="s">
        <v>22</v>
      </c>
      <c r="D511" t="s">
        <v>23</v>
      </c>
      <c r="E511" t="s">
        <v>742</v>
      </c>
      <c r="F511">
        <v>133104</v>
      </c>
      <c r="G511" t="s">
        <v>27</v>
      </c>
      <c r="H511" t="s">
        <v>1231</v>
      </c>
    </row>
    <row r="512" spans="1:8" x14ac:dyDescent="0.25">
      <c r="A512">
        <v>416</v>
      </c>
      <c r="B512">
        <v>935</v>
      </c>
      <c r="C512" t="s">
        <v>22</v>
      </c>
      <c r="D512" t="s">
        <v>333</v>
      </c>
      <c r="E512" t="s">
        <v>337</v>
      </c>
      <c r="F512">
        <v>122508</v>
      </c>
      <c r="G512" t="s">
        <v>24</v>
      </c>
      <c r="H512" t="s">
        <v>1035</v>
      </c>
    </row>
    <row r="513" spans="1:8" x14ac:dyDescent="0.25">
      <c r="A513">
        <v>907</v>
      </c>
      <c r="B513">
        <v>932</v>
      </c>
      <c r="C513" t="s">
        <v>22</v>
      </c>
      <c r="D513" t="s">
        <v>440</v>
      </c>
      <c r="E513" t="s">
        <v>749</v>
      </c>
      <c r="F513">
        <v>123306</v>
      </c>
      <c r="G513" t="s">
        <v>27</v>
      </c>
      <c r="H513" t="s">
        <v>990</v>
      </c>
    </row>
    <row r="514" spans="1:8" x14ac:dyDescent="0.25">
      <c r="A514">
        <v>904</v>
      </c>
      <c r="B514">
        <v>850</v>
      </c>
      <c r="C514" t="s">
        <v>22</v>
      </c>
      <c r="D514" t="s">
        <v>23</v>
      </c>
      <c r="E514" t="s">
        <v>746</v>
      </c>
      <c r="F514">
        <v>133001</v>
      </c>
      <c r="G514" t="s">
        <v>30</v>
      </c>
      <c r="H514" t="s">
        <v>1106</v>
      </c>
    </row>
    <row r="515" spans="1:8" x14ac:dyDescent="0.25">
      <c r="A515">
        <v>442</v>
      </c>
      <c r="B515">
        <v>913</v>
      </c>
      <c r="C515" t="s">
        <v>22</v>
      </c>
      <c r="D515" t="s">
        <v>38</v>
      </c>
      <c r="E515" t="s">
        <v>364</v>
      </c>
      <c r="F515">
        <v>134205</v>
      </c>
      <c r="G515" t="s">
        <v>27</v>
      </c>
      <c r="H515" t="s">
        <v>1232</v>
      </c>
    </row>
    <row r="516" spans="1:8" x14ac:dyDescent="0.25">
      <c r="A516">
        <v>416</v>
      </c>
      <c r="B516">
        <v>936</v>
      </c>
      <c r="C516" t="s">
        <v>22</v>
      </c>
      <c r="D516" t="s">
        <v>333</v>
      </c>
      <c r="E516" t="s">
        <v>337</v>
      </c>
      <c r="F516">
        <v>122508</v>
      </c>
      <c r="G516" t="s">
        <v>24</v>
      </c>
      <c r="H516" t="s">
        <v>1035</v>
      </c>
    </row>
    <row r="517" spans="1:8" x14ac:dyDescent="0.25">
      <c r="A517">
        <v>113</v>
      </c>
      <c r="B517">
        <v>968</v>
      </c>
      <c r="C517" t="s">
        <v>22</v>
      </c>
      <c r="D517" t="s">
        <v>42</v>
      </c>
      <c r="E517" t="s">
        <v>70</v>
      </c>
      <c r="F517">
        <v>125001</v>
      </c>
      <c r="G517" t="s">
        <v>27</v>
      </c>
      <c r="H517" t="s">
        <v>918</v>
      </c>
    </row>
    <row r="518" spans="1:8" x14ac:dyDescent="0.25">
      <c r="A518">
        <v>796</v>
      </c>
      <c r="B518">
        <v>1109</v>
      </c>
      <c r="C518" t="s">
        <v>22</v>
      </c>
      <c r="D518" t="s">
        <v>32</v>
      </c>
      <c r="E518" t="s">
        <v>654</v>
      </c>
      <c r="F518">
        <v>125050</v>
      </c>
      <c r="G518" t="s">
        <v>27</v>
      </c>
      <c r="H518" t="s">
        <v>1233</v>
      </c>
    </row>
    <row r="519" spans="1:8" x14ac:dyDescent="0.25">
      <c r="A519">
        <v>115</v>
      </c>
      <c r="B519">
        <v>831</v>
      </c>
      <c r="C519" t="s">
        <v>22</v>
      </c>
      <c r="D519" t="s">
        <v>42</v>
      </c>
      <c r="E519" t="s">
        <v>72</v>
      </c>
      <c r="F519">
        <v>125037</v>
      </c>
      <c r="G519" t="s">
        <v>27</v>
      </c>
      <c r="H519" t="s">
        <v>924</v>
      </c>
    </row>
    <row r="520" spans="1:8" x14ac:dyDescent="0.25">
      <c r="A520">
        <v>929</v>
      </c>
      <c r="B520">
        <v>909</v>
      </c>
      <c r="C520" t="s">
        <v>22</v>
      </c>
      <c r="D520" t="s">
        <v>23</v>
      </c>
      <c r="E520" t="s">
        <v>770</v>
      </c>
      <c r="F520">
        <v>134003</v>
      </c>
      <c r="G520" t="s">
        <v>30</v>
      </c>
      <c r="H520" t="s">
        <v>1234</v>
      </c>
    </row>
    <row r="521" spans="1:8" x14ac:dyDescent="0.25">
      <c r="A521">
        <v>114</v>
      </c>
      <c r="B521">
        <v>884</v>
      </c>
      <c r="C521" t="s">
        <v>22</v>
      </c>
      <c r="D521" t="s">
        <v>42</v>
      </c>
      <c r="E521" t="s">
        <v>71</v>
      </c>
      <c r="F521">
        <v>125006</v>
      </c>
      <c r="G521" t="s">
        <v>27</v>
      </c>
      <c r="H521" t="s">
        <v>960</v>
      </c>
    </row>
    <row r="522" spans="1:8" x14ac:dyDescent="0.25">
      <c r="A522">
        <v>964</v>
      </c>
      <c r="B522">
        <v>984</v>
      </c>
      <c r="C522" t="s">
        <v>22</v>
      </c>
      <c r="D522" t="s">
        <v>328</v>
      </c>
      <c r="E522" t="s">
        <v>804</v>
      </c>
      <c r="F522">
        <v>127040</v>
      </c>
      <c r="G522" t="s">
        <v>30</v>
      </c>
      <c r="H522" t="s">
        <v>1226</v>
      </c>
    </row>
    <row r="523" spans="1:8" x14ac:dyDescent="0.25">
      <c r="A523">
        <v>15</v>
      </c>
      <c r="B523">
        <v>899</v>
      </c>
      <c r="C523" t="s">
        <v>22</v>
      </c>
      <c r="D523" t="s">
        <v>23</v>
      </c>
      <c r="E523" t="s">
        <v>128</v>
      </c>
      <c r="F523">
        <v>134007</v>
      </c>
      <c r="G523" t="s">
        <v>27</v>
      </c>
      <c r="H523" t="s">
        <v>1235</v>
      </c>
    </row>
    <row r="524" spans="1:8" x14ac:dyDescent="0.25">
      <c r="A524">
        <v>122</v>
      </c>
      <c r="B524">
        <v>967</v>
      </c>
      <c r="C524" t="s">
        <v>22</v>
      </c>
      <c r="D524" t="s">
        <v>42</v>
      </c>
      <c r="E524" t="s">
        <v>100</v>
      </c>
      <c r="F524">
        <v>125047</v>
      </c>
      <c r="G524" t="s">
        <v>27</v>
      </c>
      <c r="H524" t="s">
        <v>853</v>
      </c>
    </row>
    <row r="525" spans="1:8" x14ac:dyDescent="0.25">
      <c r="A525">
        <v>928</v>
      </c>
      <c r="B525">
        <v>901</v>
      </c>
      <c r="C525" t="s">
        <v>22</v>
      </c>
      <c r="D525" t="s">
        <v>23</v>
      </c>
      <c r="E525" t="s">
        <v>769</v>
      </c>
      <c r="F525">
        <v>134003</v>
      </c>
      <c r="G525" t="s">
        <v>30</v>
      </c>
      <c r="H525" t="s">
        <v>1236</v>
      </c>
    </row>
    <row r="526" spans="1:8" x14ac:dyDescent="0.25">
      <c r="A526">
        <v>502</v>
      </c>
      <c r="B526">
        <v>940</v>
      </c>
      <c r="C526" t="s">
        <v>22</v>
      </c>
      <c r="D526" t="s">
        <v>367</v>
      </c>
      <c r="E526" t="s">
        <v>414</v>
      </c>
      <c r="F526">
        <v>132103</v>
      </c>
      <c r="G526" t="s">
        <v>30</v>
      </c>
      <c r="H526" t="s">
        <v>1237</v>
      </c>
    </row>
    <row r="527" spans="1:8" x14ac:dyDescent="0.25">
      <c r="A527">
        <v>855</v>
      </c>
      <c r="B527">
        <v>980</v>
      </c>
      <c r="C527" t="s">
        <v>22</v>
      </c>
      <c r="D527" t="s">
        <v>508</v>
      </c>
      <c r="E527" t="s">
        <v>707</v>
      </c>
      <c r="F527">
        <v>121004</v>
      </c>
      <c r="G527" t="s">
        <v>39</v>
      </c>
      <c r="H527" t="s">
        <v>1238</v>
      </c>
    </row>
    <row r="528" spans="1:8" x14ac:dyDescent="0.25">
      <c r="A528">
        <v>732</v>
      </c>
      <c r="B528">
        <v>426</v>
      </c>
      <c r="C528" t="s">
        <v>22</v>
      </c>
      <c r="D528" t="s">
        <v>239</v>
      </c>
      <c r="E528" t="s">
        <v>612</v>
      </c>
      <c r="F528">
        <v>136027</v>
      </c>
      <c r="G528" t="s">
        <v>30</v>
      </c>
      <c r="H528" t="s">
        <v>1081</v>
      </c>
    </row>
    <row r="529" spans="1:8" x14ac:dyDescent="0.25">
      <c r="A529">
        <v>53</v>
      </c>
      <c r="B529">
        <v>888</v>
      </c>
      <c r="C529" t="s">
        <v>22</v>
      </c>
      <c r="D529" t="s">
        <v>328</v>
      </c>
      <c r="E529" t="s">
        <v>439</v>
      </c>
      <c r="G529" t="s">
        <v>30</v>
      </c>
      <c r="H529" t="s">
        <v>1215</v>
      </c>
    </row>
    <row r="530" spans="1:8" x14ac:dyDescent="0.25">
      <c r="A530">
        <v>163</v>
      </c>
      <c r="B530">
        <v>837</v>
      </c>
      <c r="C530" t="s">
        <v>22</v>
      </c>
      <c r="D530" t="s">
        <v>42</v>
      </c>
      <c r="E530" t="s">
        <v>135</v>
      </c>
      <c r="F530">
        <v>125052</v>
      </c>
      <c r="G530" t="s">
        <v>77</v>
      </c>
      <c r="H530" t="s">
        <v>1239</v>
      </c>
    </row>
    <row r="531" spans="1:8" x14ac:dyDescent="0.25">
      <c r="A531">
        <v>953</v>
      </c>
      <c r="B531">
        <v>948</v>
      </c>
      <c r="C531" t="s">
        <v>22</v>
      </c>
      <c r="D531" t="s">
        <v>328</v>
      </c>
      <c r="E531" t="s">
        <v>793</v>
      </c>
      <c r="F531">
        <v>127031</v>
      </c>
      <c r="G531" t="s">
        <v>27</v>
      </c>
      <c r="H531" t="s">
        <v>1240</v>
      </c>
    </row>
    <row r="532" spans="1:8" x14ac:dyDescent="0.25">
      <c r="A532">
        <v>983</v>
      </c>
      <c r="B532">
        <v>943</v>
      </c>
      <c r="C532" t="s">
        <v>22</v>
      </c>
      <c r="D532" t="s">
        <v>23</v>
      </c>
      <c r="E532" t="s">
        <v>819</v>
      </c>
      <c r="F532">
        <v>134003</v>
      </c>
      <c r="G532" t="s">
        <v>30</v>
      </c>
      <c r="H532" t="s">
        <v>848</v>
      </c>
    </row>
    <row r="533" spans="1:8" x14ac:dyDescent="0.25">
      <c r="A533">
        <v>739</v>
      </c>
      <c r="B533">
        <v>669</v>
      </c>
      <c r="C533" t="s">
        <v>22</v>
      </c>
      <c r="D533" t="s">
        <v>239</v>
      </c>
      <c r="E533" t="s">
        <v>618</v>
      </c>
      <c r="F533">
        <v>136027</v>
      </c>
      <c r="G533" t="s">
        <v>30</v>
      </c>
      <c r="H533" t="s">
        <v>884</v>
      </c>
    </row>
    <row r="534" spans="1:8" x14ac:dyDescent="0.25">
      <c r="A534">
        <v>880</v>
      </c>
      <c r="B534">
        <v>1188</v>
      </c>
      <c r="C534" t="s">
        <v>22</v>
      </c>
      <c r="D534" t="s">
        <v>23</v>
      </c>
      <c r="E534" t="s">
        <v>725</v>
      </c>
      <c r="F534">
        <v>600038</v>
      </c>
      <c r="G534" t="s">
        <v>30</v>
      </c>
      <c r="H534" t="s">
        <v>1241</v>
      </c>
    </row>
    <row r="535" spans="1:8" x14ac:dyDescent="0.25">
      <c r="A535">
        <v>57</v>
      </c>
      <c r="B535">
        <v>897</v>
      </c>
      <c r="C535" t="s">
        <v>22</v>
      </c>
      <c r="D535" t="s">
        <v>328</v>
      </c>
      <c r="E535" t="s">
        <v>484</v>
      </c>
      <c r="G535" t="s">
        <v>30</v>
      </c>
      <c r="H535" t="s">
        <v>1242</v>
      </c>
    </row>
    <row r="536" spans="1:8" x14ac:dyDescent="0.25">
      <c r="A536">
        <v>979</v>
      </c>
      <c r="B536">
        <v>925</v>
      </c>
      <c r="C536" t="s">
        <v>22</v>
      </c>
      <c r="D536" t="s">
        <v>23</v>
      </c>
      <c r="E536" t="s">
        <v>816</v>
      </c>
      <c r="F536">
        <v>134003</v>
      </c>
      <c r="G536" t="s">
        <v>30</v>
      </c>
      <c r="H536" t="s">
        <v>1243</v>
      </c>
    </row>
    <row r="537" spans="1:8" x14ac:dyDescent="0.25">
      <c r="A537">
        <v>12</v>
      </c>
      <c r="B537">
        <v>907</v>
      </c>
      <c r="C537" t="s">
        <v>22</v>
      </c>
      <c r="D537" t="s">
        <v>23</v>
      </c>
      <c r="E537" t="s">
        <v>80</v>
      </c>
      <c r="F537">
        <v>134007</v>
      </c>
      <c r="G537" t="s">
        <v>27</v>
      </c>
      <c r="H537" t="s">
        <v>1021</v>
      </c>
    </row>
    <row r="538" spans="1:8" x14ac:dyDescent="0.25">
      <c r="A538">
        <v>436</v>
      </c>
      <c r="B538">
        <v>985</v>
      </c>
      <c r="C538" t="s">
        <v>22</v>
      </c>
      <c r="D538" t="s">
        <v>333</v>
      </c>
      <c r="E538" t="s">
        <v>359</v>
      </c>
      <c r="F538">
        <v>122105</v>
      </c>
      <c r="G538" t="s">
        <v>27</v>
      </c>
      <c r="H538" t="s">
        <v>1053</v>
      </c>
    </row>
    <row r="539" spans="1:8" x14ac:dyDescent="0.25">
      <c r="A539">
        <v>834</v>
      </c>
      <c r="B539">
        <v>933</v>
      </c>
      <c r="C539" t="s">
        <v>22</v>
      </c>
      <c r="D539" t="s">
        <v>453</v>
      </c>
      <c r="E539" t="s">
        <v>691</v>
      </c>
      <c r="F539">
        <v>125055</v>
      </c>
      <c r="G539" t="s">
        <v>30</v>
      </c>
      <c r="H539" t="s">
        <v>1244</v>
      </c>
    </row>
    <row r="540" spans="1:8" x14ac:dyDescent="0.25">
      <c r="A540">
        <v>779</v>
      </c>
      <c r="B540">
        <v>986</v>
      </c>
      <c r="C540" t="s">
        <v>22</v>
      </c>
      <c r="D540" t="s">
        <v>32</v>
      </c>
      <c r="E540" t="s">
        <v>641</v>
      </c>
      <c r="F540">
        <v>125051</v>
      </c>
      <c r="G540" t="s">
        <v>27</v>
      </c>
      <c r="H540" t="s">
        <v>853</v>
      </c>
    </row>
    <row r="541" spans="1:8" x14ac:dyDescent="0.25">
      <c r="A541">
        <v>133</v>
      </c>
      <c r="B541">
        <v>1050</v>
      </c>
      <c r="C541" t="s">
        <v>22</v>
      </c>
      <c r="D541" t="s">
        <v>42</v>
      </c>
      <c r="E541" t="s">
        <v>116</v>
      </c>
      <c r="F541">
        <v>125001</v>
      </c>
      <c r="G541" t="s">
        <v>27</v>
      </c>
      <c r="H541" t="s">
        <v>853</v>
      </c>
    </row>
    <row r="542" spans="1:8" x14ac:dyDescent="0.25">
      <c r="A542">
        <v>942</v>
      </c>
      <c r="B542">
        <v>938</v>
      </c>
      <c r="C542" t="s">
        <v>22</v>
      </c>
      <c r="D542" t="s">
        <v>328</v>
      </c>
      <c r="E542" t="s">
        <v>782</v>
      </c>
      <c r="F542">
        <v>127114</v>
      </c>
      <c r="G542" t="s">
        <v>27</v>
      </c>
      <c r="H542" t="s">
        <v>1245</v>
      </c>
    </row>
    <row r="543" spans="1:8" x14ac:dyDescent="0.25">
      <c r="A543">
        <v>880</v>
      </c>
      <c r="B543">
        <v>1181</v>
      </c>
      <c r="C543" t="s">
        <v>22</v>
      </c>
      <c r="D543" t="s">
        <v>23</v>
      </c>
      <c r="E543" t="s">
        <v>725</v>
      </c>
      <c r="F543">
        <v>600038</v>
      </c>
      <c r="G543" t="s">
        <v>30</v>
      </c>
      <c r="H543" t="s">
        <v>1134</v>
      </c>
    </row>
    <row r="544" spans="1:8" x14ac:dyDescent="0.25">
      <c r="A544">
        <v>49</v>
      </c>
      <c r="B544">
        <v>895</v>
      </c>
      <c r="C544" t="s">
        <v>22</v>
      </c>
      <c r="D544" t="s">
        <v>328</v>
      </c>
      <c r="E544" t="s">
        <v>401</v>
      </c>
      <c r="F544">
        <v>127021</v>
      </c>
      <c r="G544" t="s">
        <v>30</v>
      </c>
      <c r="H544" t="s">
        <v>1246</v>
      </c>
    </row>
    <row r="545" spans="1:8" x14ac:dyDescent="0.25">
      <c r="A545">
        <v>518</v>
      </c>
      <c r="B545">
        <v>908</v>
      </c>
      <c r="C545" t="s">
        <v>22</v>
      </c>
      <c r="D545" t="s">
        <v>367</v>
      </c>
      <c r="E545" t="s">
        <v>429</v>
      </c>
      <c r="F545">
        <v>132103</v>
      </c>
      <c r="G545" t="s">
        <v>30</v>
      </c>
      <c r="H545" t="s">
        <v>893</v>
      </c>
    </row>
    <row r="546" spans="1:8" x14ac:dyDescent="0.25">
      <c r="A546">
        <v>736</v>
      </c>
      <c r="B546">
        <v>1024</v>
      </c>
      <c r="C546" t="s">
        <v>22</v>
      </c>
      <c r="D546" t="s">
        <v>239</v>
      </c>
      <c r="E546" t="s">
        <v>615</v>
      </c>
      <c r="F546">
        <v>136027</v>
      </c>
      <c r="G546" t="s">
        <v>30</v>
      </c>
      <c r="H546" t="s">
        <v>1247</v>
      </c>
    </row>
    <row r="547" spans="1:8" x14ac:dyDescent="0.25">
      <c r="A547">
        <v>502</v>
      </c>
      <c r="B547">
        <v>622</v>
      </c>
      <c r="C547" t="s">
        <v>22</v>
      </c>
      <c r="D547" t="s">
        <v>367</v>
      </c>
      <c r="E547" t="s">
        <v>414</v>
      </c>
      <c r="F547">
        <v>132103</v>
      </c>
      <c r="G547" t="s">
        <v>30</v>
      </c>
      <c r="H547" t="s">
        <v>1237</v>
      </c>
    </row>
    <row r="548" spans="1:8" x14ac:dyDescent="0.25">
      <c r="A548">
        <v>139</v>
      </c>
      <c r="B548">
        <v>961</v>
      </c>
      <c r="C548" t="s">
        <v>22</v>
      </c>
      <c r="D548" t="s">
        <v>42</v>
      </c>
      <c r="E548" t="s">
        <v>122</v>
      </c>
      <c r="F548">
        <v>125033</v>
      </c>
      <c r="G548" t="s">
        <v>27</v>
      </c>
      <c r="H548" t="s">
        <v>1248</v>
      </c>
    </row>
    <row r="549" spans="1:8" x14ac:dyDescent="0.25">
      <c r="A549">
        <v>506</v>
      </c>
      <c r="B549">
        <v>457</v>
      </c>
      <c r="C549" t="s">
        <v>22</v>
      </c>
      <c r="D549" t="s">
        <v>367</v>
      </c>
      <c r="E549" t="s">
        <v>418</v>
      </c>
      <c r="F549">
        <v>132103</v>
      </c>
      <c r="G549" t="s">
        <v>30</v>
      </c>
      <c r="H549" t="s">
        <v>1249</v>
      </c>
    </row>
    <row r="550" spans="1:8" x14ac:dyDescent="0.25">
      <c r="A550">
        <v>435</v>
      </c>
      <c r="B550">
        <v>575</v>
      </c>
      <c r="C550" t="s">
        <v>22</v>
      </c>
      <c r="D550" t="s">
        <v>333</v>
      </c>
      <c r="E550" t="s">
        <v>358</v>
      </c>
      <c r="F550">
        <v>122105</v>
      </c>
      <c r="G550" t="s">
        <v>27</v>
      </c>
      <c r="H550" t="s">
        <v>1250</v>
      </c>
    </row>
    <row r="551" spans="1:8" x14ac:dyDescent="0.25">
      <c r="A551">
        <v>939</v>
      </c>
      <c r="B551">
        <v>957</v>
      </c>
      <c r="C551" t="s">
        <v>22</v>
      </c>
      <c r="D551" t="s">
        <v>328</v>
      </c>
      <c r="E551" t="s">
        <v>778</v>
      </c>
      <c r="F551">
        <v>127043</v>
      </c>
      <c r="G551" t="s">
        <v>27</v>
      </c>
      <c r="H551" t="s">
        <v>1251</v>
      </c>
    </row>
    <row r="552" spans="1:8" x14ac:dyDescent="0.25">
      <c r="A552">
        <v>744</v>
      </c>
      <c r="B552">
        <v>922</v>
      </c>
      <c r="C552" t="s">
        <v>22</v>
      </c>
      <c r="D552" t="s">
        <v>23</v>
      </c>
      <c r="E552" t="s">
        <v>623</v>
      </c>
      <c r="F552">
        <v>134003</v>
      </c>
      <c r="G552" t="s">
        <v>30</v>
      </c>
      <c r="H552" t="s">
        <v>1252</v>
      </c>
    </row>
    <row r="553" spans="1:8" x14ac:dyDescent="0.25">
      <c r="A553">
        <v>3</v>
      </c>
      <c r="B553">
        <v>918</v>
      </c>
      <c r="C553" t="s">
        <v>22</v>
      </c>
      <c r="D553" t="s">
        <v>23</v>
      </c>
      <c r="E553" t="s">
        <v>272</v>
      </c>
      <c r="F553">
        <v>134007</v>
      </c>
      <c r="G553" t="s">
        <v>24</v>
      </c>
      <c r="H553" t="s">
        <v>1253</v>
      </c>
    </row>
    <row r="554" spans="1:8" x14ac:dyDescent="0.25">
      <c r="A554">
        <v>956</v>
      </c>
      <c r="B554">
        <v>952</v>
      </c>
      <c r="C554" t="s">
        <v>22</v>
      </c>
      <c r="D554" t="s">
        <v>328</v>
      </c>
      <c r="E554" t="s">
        <v>796</v>
      </c>
      <c r="F554">
        <v>127111</v>
      </c>
      <c r="G554" t="s">
        <v>27</v>
      </c>
      <c r="H554" t="s">
        <v>1254</v>
      </c>
    </row>
    <row r="555" spans="1:8" x14ac:dyDescent="0.25">
      <c r="A555">
        <v>812</v>
      </c>
      <c r="B555">
        <v>923</v>
      </c>
      <c r="C555" t="s">
        <v>22</v>
      </c>
      <c r="D555" t="s">
        <v>453</v>
      </c>
      <c r="E555" t="s">
        <v>670</v>
      </c>
      <c r="F555">
        <v>125055</v>
      </c>
      <c r="G555" t="s">
        <v>30</v>
      </c>
      <c r="H555" t="s">
        <v>1255</v>
      </c>
    </row>
    <row r="556" spans="1:8" x14ac:dyDescent="0.25">
      <c r="A556">
        <v>43</v>
      </c>
      <c r="B556">
        <v>857</v>
      </c>
      <c r="C556" t="s">
        <v>22</v>
      </c>
      <c r="D556" t="s">
        <v>328</v>
      </c>
      <c r="E556" t="s">
        <v>352</v>
      </c>
      <c r="G556" t="s">
        <v>30</v>
      </c>
      <c r="H556" t="s">
        <v>1221</v>
      </c>
    </row>
    <row r="557" spans="1:8" x14ac:dyDescent="0.25">
      <c r="A557">
        <v>485</v>
      </c>
      <c r="B557">
        <v>1010</v>
      </c>
      <c r="C557" t="s">
        <v>22</v>
      </c>
      <c r="D557" t="s">
        <v>367</v>
      </c>
      <c r="E557" t="s">
        <v>396</v>
      </c>
      <c r="F557">
        <v>132103</v>
      </c>
      <c r="G557" t="s">
        <v>30</v>
      </c>
      <c r="H557" t="s">
        <v>1256</v>
      </c>
    </row>
    <row r="558" spans="1:8" x14ac:dyDescent="0.25">
      <c r="A558">
        <v>51</v>
      </c>
      <c r="B558">
        <v>859</v>
      </c>
      <c r="C558" t="s">
        <v>22</v>
      </c>
      <c r="D558" t="s">
        <v>328</v>
      </c>
      <c r="E558" t="s">
        <v>422</v>
      </c>
      <c r="G558" t="s">
        <v>30</v>
      </c>
      <c r="H558" t="s">
        <v>1257</v>
      </c>
    </row>
    <row r="559" spans="1:8" x14ac:dyDescent="0.25">
      <c r="A559">
        <v>3</v>
      </c>
      <c r="B559">
        <v>926</v>
      </c>
      <c r="C559" t="s">
        <v>22</v>
      </c>
      <c r="D559" t="s">
        <v>23</v>
      </c>
      <c r="E559" t="s">
        <v>272</v>
      </c>
      <c r="F559">
        <v>134007</v>
      </c>
      <c r="G559" t="s">
        <v>24</v>
      </c>
      <c r="H559" t="s">
        <v>1253</v>
      </c>
    </row>
    <row r="560" spans="1:8" x14ac:dyDescent="0.25">
      <c r="A560">
        <v>931</v>
      </c>
      <c r="B560">
        <v>921</v>
      </c>
      <c r="C560" t="s">
        <v>22</v>
      </c>
      <c r="D560" t="s">
        <v>23</v>
      </c>
      <c r="E560" t="s">
        <v>772</v>
      </c>
      <c r="F560">
        <v>134003</v>
      </c>
      <c r="G560" t="s">
        <v>30</v>
      </c>
      <c r="H560" t="s">
        <v>1258</v>
      </c>
    </row>
    <row r="561" spans="1:8" x14ac:dyDescent="0.25">
      <c r="A561">
        <v>887</v>
      </c>
      <c r="B561">
        <v>787</v>
      </c>
      <c r="C561" t="s">
        <v>22</v>
      </c>
      <c r="D561" t="s">
        <v>298</v>
      </c>
      <c r="E561" t="s">
        <v>1259</v>
      </c>
      <c r="F561">
        <v>136118</v>
      </c>
      <c r="G561" t="s">
        <v>30</v>
      </c>
      <c r="H561" t="s">
        <v>888</v>
      </c>
    </row>
    <row r="562" spans="1:8" x14ac:dyDescent="0.25">
      <c r="A562">
        <v>111</v>
      </c>
      <c r="B562">
        <v>969</v>
      </c>
      <c r="C562" t="s">
        <v>22</v>
      </c>
      <c r="D562" t="s">
        <v>42</v>
      </c>
      <c r="E562" t="s">
        <v>67</v>
      </c>
      <c r="F562">
        <v>125047</v>
      </c>
      <c r="G562" t="s">
        <v>27</v>
      </c>
      <c r="H562" t="s">
        <v>1260</v>
      </c>
    </row>
    <row r="563" spans="1:8" x14ac:dyDescent="0.25">
      <c r="A563">
        <v>214</v>
      </c>
      <c r="B563">
        <v>977</v>
      </c>
      <c r="C563" t="s">
        <v>22</v>
      </c>
      <c r="D563" t="s">
        <v>166</v>
      </c>
      <c r="E563" t="s">
        <v>185</v>
      </c>
      <c r="F563">
        <v>124107</v>
      </c>
      <c r="G563" t="s">
        <v>27</v>
      </c>
      <c r="H563" t="s">
        <v>1261</v>
      </c>
    </row>
    <row r="564" spans="1:8" x14ac:dyDescent="0.25">
      <c r="A564">
        <v>425</v>
      </c>
      <c r="B564">
        <v>975</v>
      </c>
      <c r="C564" t="s">
        <v>22</v>
      </c>
      <c r="D564" t="s">
        <v>333</v>
      </c>
      <c r="E564" t="s">
        <v>347</v>
      </c>
      <c r="F564">
        <v>122107</v>
      </c>
      <c r="G564" t="s">
        <v>27</v>
      </c>
      <c r="H564" t="s">
        <v>858</v>
      </c>
    </row>
    <row r="565" spans="1:8" x14ac:dyDescent="0.25">
      <c r="A565">
        <v>94</v>
      </c>
      <c r="B565">
        <v>1139</v>
      </c>
      <c r="C565" t="s">
        <v>22</v>
      </c>
      <c r="D565" t="s">
        <v>29</v>
      </c>
      <c r="E565" t="s">
        <v>779</v>
      </c>
      <c r="F565">
        <v>122503</v>
      </c>
      <c r="G565" t="s">
        <v>77</v>
      </c>
      <c r="H565" t="s">
        <v>1167</v>
      </c>
    </row>
    <row r="566" spans="1:8" x14ac:dyDescent="0.25">
      <c r="A566">
        <v>856</v>
      </c>
      <c r="B566">
        <v>993</v>
      </c>
      <c r="C566" t="s">
        <v>22</v>
      </c>
      <c r="D566" t="s">
        <v>508</v>
      </c>
      <c r="E566" t="s">
        <v>708</v>
      </c>
      <c r="F566">
        <v>121004</v>
      </c>
      <c r="G566" t="s">
        <v>39</v>
      </c>
      <c r="H566" t="s">
        <v>1262</v>
      </c>
    </row>
    <row r="567" spans="1:8" x14ac:dyDescent="0.25">
      <c r="A567">
        <v>162</v>
      </c>
      <c r="B567">
        <v>847</v>
      </c>
      <c r="C567" t="s">
        <v>22</v>
      </c>
      <c r="D567" t="s">
        <v>42</v>
      </c>
      <c r="E567" t="s">
        <v>134</v>
      </c>
      <c r="F567">
        <v>125033</v>
      </c>
      <c r="G567" t="s">
        <v>77</v>
      </c>
      <c r="H567" t="s">
        <v>1263</v>
      </c>
    </row>
    <row r="568" spans="1:8" x14ac:dyDescent="0.25">
      <c r="A568">
        <v>987</v>
      </c>
      <c r="B568">
        <v>1107</v>
      </c>
      <c r="C568" t="s">
        <v>22</v>
      </c>
      <c r="D568" t="s">
        <v>42</v>
      </c>
      <c r="E568" t="s">
        <v>822</v>
      </c>
      <c r="F568">
        <v>125047</v>
      </c>
      <c r="G568" t="s">
        <v>30</v>
      </c>
      <c r="H568" t="s">
        <v>1264</v>
      </c>
    </row>
    <row r="569" spans="1:8" x14ac:dyDescent="0.25">
      <c r="A569">
        <v>856</v>
      </c>
      <c r="B569">
        <v>989</v>
      </c>
      <c r="C569" t="s">
        <v>22</v>
      </c>
      <c r="D569" t="s">
        <v>508</v>
      </c>
      <c r="E569" t="s">
        <v>708</v>
      </c>
      <c r="F569">
        <v>121004</v>
      </c>
      <c r="G569" t="s">
        <v>39</v>
      </c>
      <c r="H569" t="s">
        <v>1262</v>
      </c>
    </row>
    <row r="570" spans="1:8" x14ac:dyDescent="0.25">
      <c r="A570">
        <v>417</v>
      </c>
      <c r="B570">
        <v>632</v>
      </c>
      <c r="C570" t="s">
        <v>22</v>
      </c>
      <c r="D570" t="s">
        <v>333</v>
      </c>
      <c r="E570" t="s">
        <v>338</v>
      </c>
      <c r="F570">
        <v>122105</v>
      </c>
      <c r="G570" t="s">
        <v>24</v>
      </c>
      <c r="H570" t="s">
        <v>1265</v>
      </c>
    </row>
    <row r="571" spans="1:8" x14ac:dyDescent="0.25">
      <c r="A571">
        <v>965</v>
      </c>
      <c r="B571">
        <v>1031</v>
      </c>
      <c r="C571" t="s">
        <v>22</v>
      </c>
      <c r="D571" t="s">
        <v>328</v>
      </c>
      <c r="E571" t="s">
        <v>805</v>
      </c>
      <c r="F571">
        <v>127021</v>
      </c>
      <c r="G571" t="s">
        <v>30</v>
      </c>
      <c r="H571" t="s">
        <v>1266</v>
      </c>
    </row>
    <row r="572" spans="1:8" x14ac:dyDescent="0.25">
      <c r="A572">
        <v>207</v>
      </c>
      <c r="B572">
        <v>995</v>
      </c>
      <c r="C572" t="s">
        <v>22</v>
      </c>
      <c r="D572" t="s">
        <v>166</v>
      </c>
      <c r="E572" t="s">
        <v>178</v>
      </c>
      <c r="F572">
        <v>124108</v>
      </c>
      <c r="G572" t="s">
        <v>27</v>
      </c>
      <c r="H572" t="s">
        <v>1078</v>
      </c>
    </row>
    <row r="573" spans="1:8" x14ac:dyDescent="0.25">
      <c r="A573">
        <v>852</v>
      </c>
      <c r="B573">
        <v>900</v>
      </c>
      <c r="C573" t="s">
        <v>22</v>
      </c>
      <c r="D573" t="s">
        <v>508</v>
      </c>
      <c r="E573" t="s">
        <v>705</v>
      </c>
      <c r="F573">
        <v>121004</v>
      </c>
      <c r="G573" t="s">
        <v>39</v>
      </c>
      <c r="H573" t="s">
        <v>1267</v>
      </c>
    </row>
    <row r="574" spans="1:8" x14ac:dyDescent="0.25">
      <c r="A574">
        <v>434</v>
      </c>
      <c r="B574">
        <v>590</v>
      </c>
      <c r="C574" t="s">
        <v>22</v>
      </c>
      <c r="D574" t="s">
        <v>333</v>
      </c>
      <c r="E574" t="s">
        <v>357</v>
      </c>
      <c r="F574">
        <v>122105</v>
      </c>
      <c r="G574" t="s">
        <v>27</v>
      </c>
      <c r="H574" t="s">
        <v>1268</v>
      </c>
    </row>
    <row r="575" spans="1:8" x14ac:dyDescent="0.25">
      <c r="A575">
        <v>220</v>
      </c>
      <c r="B575">
        <v>992</v>
      </c>
      <c r="C575" t="s">
        <v>22</v>
      </c>
      <c r="D575" t="s">
        <v>166</v>
      </c>
      <c r="E575" t="s">
        <v>192</v>
      </c>
      <c r="F575">
        <v>124106</v>
      </c>
      <c r="G575" t="s">
        <v>77</v>
      </c>
      <c r="H575" t="s">
        <v>858</v>
      </c>
    </row>
    <row r="576" spans="1:8" x14ac:dyDescent="0.25">
      <c r="A576">
        <v>119</v>
      </c>
      <c r="B576">
        <v>1002</v>
      </c>
      <c r="C576" t="s">
        <v>22</v>
      </c>
      <c r="D576" t="s">
        <v>42</v>
      </c>
      <c r="E576" t="s">
        <v>76</v>
      </c>
      <c r="F576">
        <v>125121</v>
      </c>
      <c r="G576" t="s">
        <v>27</v>
      </c>
      <c r="H576" t="s">
        <v>1269</v>
      </c>
    </row>
    <row r="577" spans="1:8" x14ac:dyDescent="0.25">
      <c r="A577">
        <v>967</v>
      </c>
      <c r="B577">
        <v>955</v>
      </c>
      <c r="C577" t="s">
        <v>22</v>
      </c>
      <c r="D577" t="s">
        <v>328</v>
      </c>
      <c r="E577" t="s">
        <v>807</v>
      </c>
      <c r="F577">
        <v>127040</v>
      </c>
      <c r="G577" t="s">
        <v>77</v>
      </c>
      <c r="H577" t="s">
        <v>1270</v>
      </c>
    </row>
    <row r="578" spans="1:8" x14ac:dyDescent="0.25">
      <c r="A578">
        <v>617</v>
      </c>
      <c r="B578">
        <v>1341</v>
      </c>
      <c r="C578" t="s">
        <v>22</v>
      </c>
      <c r="D578" t="s">
        <v>195</v>
      </c>
      <c r="E578" t="s">
        <v>522</v>
      </c>
      <c r="F578">
        <v>126102</v>
      </c>
      <c r="G578" t="s">
        <v>30</v>
      </c>
      <c r="H578" t="s">
        <v>1271</v>
      </c>
    </row>
    <row r="579" spans="1:8" x14ac:dyDescent="0.25">
      <c r="A579">
        <v>780</v>
      </c>
      <c r="B579">
        <v>1085</v>
      </c>
      <c r="C579" t="s">
        <v>22</v>
      </c>
      <c r="D579" t="s">
        <v>32</v>
      </c>
      <c r="E579" t="s">
        <v>642</v>
      </c>
      <c r="F579">
        <v>125050</v>
      </c>
      <c r="G579" t="s">
        <v>27</v>
      </c>
      <c r="H579" t="s">
        <v>867</v>
      </c>
    </row>
    <row r="580" spans="1:8" x14ac:dyDescent="0.25">
      <c r="A580">
        <v>119</v>
      </c>
      <c r="B580">
        <v>1004</v>
      </c>
      <c r="C580" t="s">
        <v>22</v>
      </c>
      <c r="D580" t="s">
        <v>42</v>
      </c>
      <c r="E580" t="s">
        <v>76</v>
      </c>
      <c r="F580">
        <v>125121</v>
      </c>
      <c r="G580" t="s">
        <v>27</v>
      </c>
      <c r="H580" t="s">
        <v>1269</v>
      </c>
    </row>
    <row r="581" spans="1:8" x14ac:dyDescent="0.25">
      <c r="A581">
        <v>858</v>
      </c>
      <c r="B581">
        <v>994</v>
      </c>
      <c r="C581" t="s">
        <v>22</v>
      </c>
      <c r="D581" t="s">
        <v>508</v>
      </c>
      <c r="E581" t="s">
        <v>710</v>
      </c>
      <c r="F581">
        <v>121009</v>
      </c>
      <c r="G581" t="s">
        <v>39</v>
      </c>
      <c r="H581" t="s">
        <v>1272</v>
      </c>
    </row>
    <row r="582" spans="1:8" x14ac:dyDescent="0.25">
      <c r="A582">
        <v>951</v>
      </c>
      <c r="B582">
        <v>983</v>
      </c>
      <c r="C582" t="s">
        <v>22</v>
      </c>
      <c r="D582" t="s">
        <v>328</v>
      </c>
      <c r="E582" t="s">
        <v>791</v>
      </c>
      <c r="F582">
        <v>127046</v>
      </c>
      <c r="G582" t="s">
        <v>27</v>
      </c>
      <c r="H582" t="s">
        <v>944</v>
      </c>
    </row>
    <row r="583" spans="1:8" x14ac:dyDescent="0.25">
      <c r="A583">
        <v>171</v>
      </c>
      <c r="B583">
        <v>822</v>
      </c>
      <c r="C583" t="s">
        <v>22</v>
      </c>
      <c r="D583" t="s">
        <v>42</v>
      </c>
      <c r="E583" t="s">
        <v>138</v>
      </c>
      <c r="F583">
        <v>125039</v>
      </c>
      <c r="G583" t="s">
        <v>77</v>
      </c>
      <c r="H583" t="s">
        <v>867</v>
      </c>
    </row>
    <row r="584" spans="1:8" x14ac:dyDescent="0.25">
      <c r="A584">
        <v>735</v>
      </c>
      <c r="B584">
        <v>1021</v>
      </c>
      <c r="C584" t="s">
        <v>22</v>
      </c>
      <c r="D584" t="s">
        <v>239</v>
      </c>
      <c r="E584" t="s">
        <v>614</v>
      </c>
      <c r="F584">
        <v>136027</v>
      </c>
      <c r="G584" t="s">
        <v>30</v>
      </c>
      <c r="H584" t="s">
        <v>1020</v>
      </c>
    </row>
    <row r="585" spans="1:8" x14ac:dyDescent="0.25">
      <c r="A585">
        <v>954</v>
      </c>
      <c r="B585">
        <v>944</v>
      </c>
      <c r="C585" t="s">
        <v>22</v>
      </c>
      <c r="D585" t="s">
        <v>328</v>
      </c>
      <c r="E585" t="s">
        <v>794</v>
      </c>
      <c r="F585">
        <v>127041</v>
      </c>
      <c r="G585" t="s">
        <v>27</v>
      </c>
      <c r="H585" t="s">
        <v>1273</v>
      </c>
    </row>
    <row r="586" spans="1:8" x14ac:dyDescent="0.25">
      <c r="A586">
        <v>119</v>
      </c>
      <c r="B586">
        <v>1005</v>
      </c>
      <c r="C586" t="s">
        <v>22</v>
      </c>
      <c r="D586" t="s">
        <v>42</v>
      </c>
      <c r="E586" t="s">
        <v>76</v>
      </c>
      <c r="F586">
        <v>125121</v>
      </c>
      <c r="G586" t="s">
        <v>27</v>
      </c>
      <c r="H586" t="s">
        <v>1269</v>
      </c>
    </row>
    <row r="587" spans="1:8" x14ac:dyDescent="0.25">
      <c r="A587">
        <v>120</v>
      </c>
      <c r="B587">
        <v>1169</v>
      </c>
      <c r="C587" t="s">
        <v>22</v>
      </c>
      <c r="D587" t="s">
        <v>42</v>
      </c>
      <c r="E587" t="s">
        <v>81</v>
      </c>
      <c r="F587">
        <v>125121</v>
      </c>
      <c r="G587" t="s">
        <v>27</v>
      </c>
      <c r="H587" t="s">
        <v>1274</v>
      </c>
    </row>
    <row r="588" spans="1:8" x14ac:dyDescent="0.25">
      <c r="A588">
        <v>857</v>
      </c>
      <c r="B588">
        <v>999</v>
      </c>
      <c r="C588" t="s">
        <v>22</v>
      </c>
      <c r="D588" t="s">
        <v>508</v>
      </c>
      <c r="E588" t="s">
        <v>709</v>
      </c>
      <c r="F588">
        <v>121005</v>
      </c>
      <c r="G588" t="s">
        <v>39</v>
      </c>
      <c r="H588" t="s">
        <v>1275</v>
      </c>
    </row>
    <row r="589" spans="1:8" x14ac:dyDescent="0.25">
      <c r="A589">
        <v>524</v>
      </c>
      <c r="B589">
        <v>344</v>
      </c>
      <c r="C589" t="s">
        <v>22</v>
      </c>
      <c r="D589" t="s">
        <v>367</v>
      </c>
      <c r="E589" t="s">
        <v>435</v>
      </c>
      <c r="F589">
        <v>132103</v>
      </c>
      <c r="G589" t="s">
        <v>30</v>
      </c>
      <c r="H589" t="s">
        <v>893</v>
      </c>
    </row>
    <row r="590" spans="1:8" x14ac:dyDescent="0.25">
      <c r="A590">
        <v>921</v>
      </c>
      <c r="B590">
        <v>941</v>
      </c>
      <c r="C590" t="s">
        <v>22</v>
      </c>
      <c r="D590" t="s">
        <v>440</v>
      </c>
      <c r="E590" t="s">
        <v>762</v>
      </c>
      <c r="F590">
        <v>123401</v>
      </c>
      <c r="G590" t="s">
        <v>30</v>
      </c>
      <c r="H590" t="s">
        <v>1276</v>
      </c>
    </row>
    <row r="591" spans="1:8" x14ac:dyDescent="0.25">
      <c r="A591">
        <v>899</v>
      </c>
      <c r="B591">
        <v>844</v>
      </c>
      <c r="C591" t="s">
        <v>22</v>
      </c>
      <c r="D591" t="s">
        <v>42</v>
      </c>
      <c r="E591" t="s">
        <v>1277</v>
      </c>
      <c r="F591">
        <v>125001</v>
      </c>
      <c r="G591" t="s">
        <v>30</v>
      </c>
      <c r="H591" t="s">
        <v>1278</v>
      </c>
    </row>
    <row r="592" spans="1:8" x14ac:dyDescent="0.25">
      <c r="A592">
        <v>971</v>
      </c>
      <c r="B592">
        <v>964</v>
      </c>
      <c r="C592" t="s">
        <v>22</v>
      </c>
      <c r="D592" t="s">
        <v>328</v>
      </c>
      <c r="E592" t="s">
        <v>812</v>
      </c>
      <c r="F592">
        <v>127032</v>
      </c>
      <c r="G592" t="s">
        <v>77</v>
      </c>
      <c r="H592" t="s">
        <v>1279</v>
      </c>
    </row>
    <row r="593" spans="1:8" x14ac:dyDescent="0.25">
      <c r="A593">
        <v>427</v>
      </c>
      <c r="B593">
        <v>574</v>
      </c>
      <c r="C593" t="s">
        <v>22</v>
      </c>
      <c r="D593" t="s">
        <v>333</v>
      </c>
      <c r="E593" t="s">
        <v>349</v>
      </c>
      <c r="F593">
        <v>122107</v>
      </c>
      <c r="G593" t="s">
        <v>27</v>
      </c>
      <c r="H593" t="s">
        <v>1280</v>
      </c>
    </row>
    <row r="594" spans="1:8" x14ac:dyDescent="0.25">
      <c r="A594">
        <v>119</v>
      </c>
      <c r="B594">
        <v>1006</v>
      </c>
      <c r="C594" t="s">
        <v>22</v>
      </c>
      <c r="D594" t="s">
        <v>42</v>
      </c>
      <c r="E594" t="s">
        <v>76</v>
      </c>
      <c r="F594">
        <v>125121</v>
      </c>
      <c r="G594" t="s">
        <v>27</v>
      </c>
      <c r="H594" t="s">
        <v>1269</v>
      </c>
    </row>
    <row r="595" spans="1:8" x14ac:dyDescent="0.25">
      <c r="A595">
        <v>723</v>
      </c>
      <c r="B595">
        <v>801</v>
      </c>
      <c r="C595" t="s">
        <v>22</v>
      </c>
      <c r="D595" t="s">
        <v>239</v>
      </c>
      <c r="E595" t="s">
        <v>603</v>
      </c>
      <c r="F595">
        <v>136035</v>
      </c>
      <c r="G595" t="s">
        <v>27</v>
      </c>
      <c r="H595" t="s">
        <v>858</v>
      </c>
    </row>
    <row r="596" spans="1:8" x14ac:dyDescent="0.25">
      <c r="A596">
        <v>500</v>
      </c>
      <c r="B596">
        <v>340</v>
      </c>
      <c r="C596" t="s">
        <v>22</v>
      </c>
      <c r="D596" t="s">
        <v>367</v>
      </c>
      <c r="E596" t="s">
        <v>412</v>
      </c>
      <c r="F596">
        <v>132103</v>
      </c>
      <c r="G596" t="s">
        <v>30</v>
      </c>
      <c r="H596" t="s">
        <v>944</v>
      </c>
    </row>
    <row r="597" spans="1:8" x14ac:dyDescent="0.25">
      <c r="A597">
        <v>105</v>
      </c>
      <c r="B597">
        <v>836</v>
      </c>
      <c r="C597" t="s">
        <v>22</v>
      </c>
      <c r="D597" t="s">
        <v>42</v>
      </c>
      <c r="E597" t="s">
        <v>56</v>
      </c>
      <c r="F597">
        <v>125038</v>
      </c>
      <c r="G597" t="s">
        <v>24</v>
      </c>
      <c r="H597" t="s">
        <v>1281</v>
      </c>
    </row>
    <row r="598" spans="1:8" x14ac:dyDescent="0.25">
      <c r="A598">
        <v>415</v>
      </c>
      <c r="B598">
        <v>579</v>
      </c>
      <c r="C598" t="s">
        <v>22</v>
      </c>
      <c r="D598" t="s">
        <v>333</v>
      </c>
      <c r="E598" t="s">
        <v>336</v>
      </c>
      <c r="F598">
        <v>122508</v>
      </c>
      <c r="G598" t="s">
        <v>24</v>
      </c>
      <c r="H598" t="s">
        <v>858</v>
      </c>
    </row>
    <row r="599" spans="1:8" x14ac:dyDescent="0.25">
      <c r="A599">
        <v>422</v>
      </c>
      <c r="B599">
        <v>1015</v>
      </c>
      <c r="C599" t="s">
        <v>22</v>
      </c>
      <c r="D599" t="s">
        <v>333</v>
      </c>
      <c r="E599" t="s">
        <v>344</v>
      </c>
      <c r="F599">
        <v>122108</v>
      </c>
      <c r="G599" t="s">
        <v>27</v>
      </c>
      <c r="H599" t="s">
        <v>1265</v>
      </c>
    </row>
    <row r="600" spans="1:8" x14ac:dyDescent="0.25">
      <c r="A600">
        <v>132</v>
      </c>
      <c r="B600">
        <v>1045</v>
      </c>
      <c r="C600" t="s">
        <v>22</v>
      </c>
      <c r="D600" t="s">
        <v>42</v>
      </c>
      <c r="E600" t="s">
        <v>115</v>
      </c>
      <c r="F600">
        <v>125052</v>
      </c>
      <c r="G600" t="s">
        <v>27</v>
      </c>
      <c r="H600" t="s">
        <v>883</v>
      </c>
    </row>
    <row r="601" spans="1:8" x14ac:dyDescent="0.25">
      <c r="A601">
        <v>797</v>
      </c>
      <c r="B601">
        <v>1101</v>
      </c>
      <c r="C601" t="s">
        <v>22</v>
      </c>
      <c r="D601" t="s">
        <v>32</v>
      </c>
      <c r="E601" t="s">
        <v>655</v>
      </c>
      <c r="F601">
        <v>125050</v>
      </c>
      <c r="G601" t="s">
        <v>27</v>
      </c>
      <c r="H601" t="s">
        <v>858</v>
      </c>
    </row>
    <row r="602" spans="1:8" x14ac:dyDescent="0.25">
      <c r="A602">
        <v>123</v>
      </c>
      <c r="B602">
        <v>1041</v>
      </c>
      <c r="C602" t="s">
        <v>22</v>
      </c>
      <c r="D602" t="s">
        <v>42</v>
      </c>
      <c r="E602" t="s">
        <v>105</v>
      </c>
      <c r="F602">
        <v>125121</v>
      </c>
      <c r="G602" t="s">
        <v>27</v>
      </c>
      <c r="H602" t="s">
        <v>1282</v>
      </c>
    </row>
    <row r="603" spans="1:8" x14ac:dyDescent="0.25">
      <c r="A603">
        <v>423</v>
      </c>
      <c r="B603">
        <v>577</v>
      </c>
      <c r="C603" t="s">
        <v>22</v>
      </c>
      <c r="D603" t="s">
        <v>333</v>
      </c>
      <c r="E603" t="s">
        <v>345</v>
      </c>
      <c r="F603">
        <v>122107</v>
      </c>
      <c r="G603" t="s">
        <v>27</v>
      </c>
      <c r="H603" t="s">
        <v>1283</v>
      </c>
    </row>
    <row r="604" spans="1:8" x14ac:dyDescent="0.25">
      <c r="A604">
        <v>293</v>
      </c>
      <c r="B604">
        <v>1141</v>
      </c>
      <c r="C604" t="s">
        <v>22</v>
      </c>
      <c r="D604" t="s">
        <v>254</v>
      </c>
      <c r="E604" t="s">
        <v>266</v>
      </c>
      <c r="F604">
        <v>132114</v>
      </c>
      <c r="G604" t="s">
        <v>27</v>
      </c>
      <c r="H604" t="s">
        <v>841</v>
      </c>
    </row>
    <row r="605" spans="1:8" x14ac:dyDescent="0.25">
      <c r="A605">
        <v>775</v>
      </c>
      <c r="B605">
        <v>772</v>
      </c>
      <c r="C605" t="s">
        <v>22</v>
      </c>
      <c r="D605" t="s">
        <v>32</v>
      </c>
      <c r="E605" t="s">
        <v>637</v>
      </c>
      <c r="F605">
        <v>125133</v>
      </c>
      <c r="G605" t="s">
        <v>24</v>
      </c>
      <c r="H605" t="s">
        <v>1284</v>
      </c>
    </row>
    <row r="606" spans="1:8" x14ac:dyDescent="0.25">
      <c r="A606">
        <v>422</v>
      </c>
      <c r="B606">
        <v>1016</v>
      </c>
      <c r="C606" t="s">
        <v>22</v>
      </c>
      <c r="D606" t="s">
        <v>333</v>
      </c>
      <c r="E606" t="s">
        <v>344</v>
      </c>
      <c r="F606">
        <v>122108</v>
      </c>
      <c r="G606" t="s">
        <v>27</v>
      </c>
      <c r="H606" t="s">
        <v>1265</v>
      </c>
    </row>
    <row r="607" spans="1:8" x14ac:dyDescent="0.25">
      <c r="A607">
        <v>952</v>
      </c>
      <c r="B607">
        <v>937</v>
      </c>
      <c r="C607" t="s">
        <v>22</v>
      </c>
      <c r="D607" t="s">
        <v>328</v>
      </c>
      <c r="E607" t="s">
        <v>792</v>
      </c>
      <c r="F607">
        <v>127027</v>
      </c>
      <c r="G607" t="s">
        <v>27</v>
      </c>
      <c r="H607" t="s">
        <v>1285</v>
      </c>
    </row>
    <row r="608" spans="1:8" x14ac:dyDescent="0.25">
      <c r="A608">
        <v>779</v>
      </c>
      <c r="B608">
        <v>1091</v>
      </c>
      <c r="C608" t="s">
        <v>22</v>
      </c>
      <c r="D608" t="s">
        <v>32</v>
      </c>
      <c r="E608" t="s">
        <v>641</v>
      </c>
      <c r="F608">
        <v>125051</v>
      </c>
      <c r="G608" t="s">
        <v>27</v>
      </c>
      <c r="H608" t="s">
        <v>853</v>
      </c>
    </row>
    <row r="609" spans="1:8" x14ac:dyDescent="0.25">
      <c r="A609">
        <v>933</v>
      </c>
      <c r="B609">
        <v>973</v>
      </c>
      <c r="C609" t="s">
        <v>22</v>
      </c>
      <c r="D609" t="s">
        <v>328</v>
      </c>
      <c r="E609" t="s">
        <v>774</v>
      </c>
      <c r="F609">
        <v>127031</v>
      </c>
      <c r="G609" t="s">
        <v>24</v>
      </c>
      <c r="H609" t="s">
        <v>858</v>
      </c>
    </row>
    <row r="610" spans="1:8" x14ac:dyDescent="0.25">
      <c r="A610">
        <v>364</v>
      </c>
      <c r="B610">
        <v>733</v>
      </c>
      <c r="C610" t="s">
        <v>22</v>
      </c>
      <c r="D610" t="s">
        <v>298</v>
      </c>
      <c r="E610" t="s">
        <v>312</v>
      </c>
      <c r="F610">
        <v>136135</v>
      </c>
      <c r="G610" t="s">
        <v>27</v>
      </c>
      <c r="H610" t="s">
        <v>848</v>
      </c>
    </row>
    <row r="611" spans="1:8" x14ac:dyDescent="0.25">
      <c r="A611">
        <v>127</v>
      </c>
      <c r="B611">
        <v>656</v>
      </c>
      <c r="C611" t="s">
        <v>22</v>
      </c>
      <c r="D611" t="s">
        <v>42</v>
      </c>
      <c r="E611" t="s">
        <v>109</v>
      </c>
      <c r="F611">
        <v>125001</v>
      </c>
      <c r="G611" t="s">
        <v>27</v>
      </c>
      <c r="H611" t="s">
        <v>1286</v>
      </c>
    </row>
    <row r="612" spans="1:8" x14ac:dyDescent="0.25">
      <c r="A612">
        <v>371</v>
      </c>
      <c r="B612">
        <v>1077</v>
      </c>
      <c r="C612" t="s">
        <v>22</v>
      </c>
      <c r="D612" t="s">
        <v>298</v>
      </c>
      <c r="E612" t="s">
        <v>320</v>
      </c>
      <c r="F612">
        <v>136131</v>
      </c>
      <c r="G612" t="s">
        <v>27</v>
      </c>
      <c r="H612" t="s">
        <v>848</v>
      </c>
    </row>
    <row r="613" spans="1:8" x14ac:dyDescent="0.25">
      <c r="A613">
        <v>950</v>
      </c>
      <c r="B613">
        <v>951</v>
      </c>
      <c r="C613" t="s">
        <v>22</v>
      </c>
      <c r="D613" t="s">
        <v>328</v>
      </c>
      <c r="E613" t="s">
        <v>790</v>
      </c>
      <c r="F613">
        <v>127046</v>
      </c>
      <c r="G613" t="s">
        <v>27</v>
      </c>
      <c r="H613" t="s">
        <v>1181</v>
      </c>
    </row>
    <row r="614" spans="1:8" x14ac:dyDescent="0.25">
      <c r="A614">
        <v>880</v>
      </c>
      <c r="B614">
        <v>1176</v>
      </c>
      <c r="C614" t="s">
        <v>22</v>
      </c>
      <c r="D614" t="s">
        <v>23</v>
      </c>
      <c r="E614" t="s">
        <v>725</v>
      </c>
      <c r="F614">
        <v>600038</v>
      </c>
      <c r="G614" t="s">
        <v>30</v>
      </c>
      <c r="H614" t="s">
        <v>1287</v>
      </c>
    </row>
    <row r="615" spans="1:8" x14ac:dyDescent="0.25">
      <c r="A615">
        <v>796</v>
      </c>
      <c r="B615">
        <v>1102</v>
      </c>
      <c r="C615" t="s">
        <v>22</v>
      </c>
      <c r="D615" t="s">
        <v>32</v>
      </c>
      <c r="E615" t="s">
        <v>654</v>
      </c>
      <c r="F615">
        <v>125050</v>
      </c>
      <c r="G615" t="s">
        <v>27</v>
      </c>
      <c r="H615" t="s">
        <v>1288</v>
      </c>
    </row>
    <row r="616" spans="1:8" x14ac:dyDescent="0.25">
      <c r="A616">
        <v>935</v>
      </c>
      <c r="B616">
        <v>1026</v>
      </c>
      <c r="C616" t="s">
        <v>22</v>
      </c>
      <c r="D616" t="s">
        <v>328</v>
      </c>
      <c r="E616" t="s">
        <v>172</v>
      </c>
      <c r="F616">
        <v>124146</v>
      </c>
      <c r="G616" t="s">
        <v>24</v>
      </c>
      <c r="H616" t="s">
        <v>1289</v>
      </c>
    </row>
    <row r="617" spans="1:8" x14ac:dyDescent="0.25">
      <c r="A617">
        <v>981</v>
      </c>
      <c r="B617">
        <v>1037</v>
      </c>
      <c r="C617" t="s">
        <v>22</v>
      </c>
      <c r="D617" t="s">
        <v>440</v>
      </c>
      <c r="E617" t="s">
        <v>818</v>
      </c>
      <c r="F617">
        <v>123401</v>
      </c>
      <c r="G617" t="s">
        <v>30</v>
      </c>
      <c r="H617" t="s">
        <v>858</v>
      </c>
    </row>
    <row r="618" spans="1:8" x14ac:dyDescent="0.25">
      <c r="A618">
        <v>959</v>
      </c>
      <c r="B618">
        <v>945</v>
      </c>
      <c r="C618" t="s">
        <v>22</v>
      </c>
      <c r="D618" t="s">
        <v>328</v>
      </c>
      <c r="E618" t="s">
        <v>799</v>
      </c>
      <c r="F618">
        <v>127032</v>
      </c>
      <c r="G618" t="s">
        <v>27</v>
      </c>
      <c r="H618" t="s">
        <v>858</v>
      </c>
    </row>
    <row r="619" spans="1:8" x14ac:dyDescent="0.25">
      <c r="A619">
        <v>120</v>
      </c>
      <c r="B619">
        <v>1038</v>
      </c>
      <c r="C619" t="s">
        <v>22</v>
      </c>
      <c r="D619" t="s">
        <v>42</v>
      </c>
      <c r="E619" t="s">
        <v>81</v>
      </c>
      <c r="F619">
        <v>125121</v>
      </c>
      <c r="G619" t="s">
        <v>27</v>
      </c>
      <c r="H619" t="s">
        <v>1274</v>
      </c>
    </row>
    <row r="620" spans="1:8" x14ac:dyDescent="0.25">
      <c r="A620">
        <v>124</v>
      </c>
      <c r="B620">
        <v>843</v>
      </c>
      <c r="C620" t="s">
        <v>22</v>
      </c>
      <c r="D620" t="s">
        <v>42</v>
      </c>
      <c r="E620" t="s">
        <v>106</v>
      </c>
      <c r="F620">
        <v>125005</v>
      </c>
      <c r="G620" t="s">
        <v>27</v>
      </c>
      <c r="H620" t="s">
        <v>960</v>
      </c>
    </row>
    <row r="621" spans="1:8" x14ac:dyDescent="0.25">
      <c r="A621">
        <v>213</v>
      </c>
      <c r="B621">
        <v>1027</v>
      </c>
      <c r="C621" t="s">
        <v>22</v>
      </c>
      <c r="D621" t="s">
        <v>166</v>
      </c>
      <c r="E621" t="s">
        <v>184</v>
      </c>
      <c r="F621">
        <v>124507</v>
      </c>
      <c r="G621" t="s">
        <v>27</v>
      </c>
      <c r="H621" t="s">
        <v>1290</v>
      </c>
    </row>
    <row r="622" spans="1:8" x14ac:dyDescent="0.25">
      <c r="A622">
        <v>109</v>
      </c>
      <c r="B622">
        <v>972</v>
      </c>
      <c r="C622" t="s">
        <v>22</v>
      </c>
      <c r="D622" t="s">
        <v>42</v>
      </c>
      <c r="E622" t="s">
        <v>60</v>
      </c>
      <c r="F622">
        <v>125001</v>
      </c>
      <c r="G622" t="s">
        <v>24</v>
      </c>
      <c r="H622" t="s">
        <v>1291</v>
      </c>
    </row>
    <row r="623" spans="1:8" x14ac:dyDescent="0.25">
      <c r="A623">
        <v>132</v>
      </c>
      <c r="B623">
        <v>1123</v>
      </c>
      <c r="C623" t="s">
        <v>22</v>
      </c>
      <c r="D623" t="s">
        <v>42</v>
      </c>
      <c r="E623" t="s">
        <v>115</v>
      </c>
      <c r="F623">
        <v>125052</v>
      </c>
      <c r="G623" t="s">
        <v>27</v>
      </c>
      <c r="H623" t="s">
        <v>883</v>
      </c>
    </row>
    <row r="624" spans="1:8" x14ac:dyDescent="0.25">
      <c r="A624">
        <v>736</v>
      </c>
      <c r="B624">
        <v>1023</v>
      </c>
      <c r="C624" t="s">
        <v>22</v>
      </c>
      <c r="D624" t="s">
        <v>239</v>
      </c>
      <c r="E624" t="s">
        <v>615</v>
      </c>
      <c r="F624">
        <v>136027</v>
      </c>
      <c r="G624" t="s">
        <v>30</v>
      </c>
      <c r="H624" t="s">
        <v>1247</v>
      </c>
    </row>
    <row r="625" spans="1:8" x14ac:dyDescent="0.25">
      <c r="A625">
        <v>382</v>
      </c>
      <c r="B625">
        <v>794</v>
      </c>
      <c r="C625" t="s">
        <v>22</v>
      </c>
      <c r="D625" t="s">
        <v>298</v>
      </c>
      <c r="E625" t="s">
        <v>323</v>
      </c>
      <c r="G625" t="s">
        <v>30</v>
      </c>
      <c r="H625" t="s">
        <v>1292</v>
      </c>
    </row>
    <row r="626" spans="1:8" x14ac:dyDescent="0.25">
      <c r="A626">
        <v>949</v>
      </c>
      <c r="B626">
        <v>1020</v>
      </c>
      <c r="C626" t="s">
        <v>22</v>
      </c>
      <c r="D626" t="s">
        <v>328</v>
      </c>
      <c r="E626" t="s">
        <v>789</v>
      </c>
      <c r="F626">
        <v>127045</v>
      </c>
      <c r="G626" t="s">
        <v>27</v>
      </c>
      <c r="H626" t="s">
        <v>1293</v>
      </c>
    </row>
    <row r="627" spans="1:8" x14ac:dyDescent="0.25">
      <c r="A627">
        <v>799</v>
      </c>
      <c r="B627">
        <v>1084</v>
      </c>
      <c r="C627" t="s">
        <v>22</v>
      </c>
      <c r="D627" t="s">
        <v>32</v>
      </c>
      <c r="E627" t="s">
        <v>657</v>
      </c>
      <c r="G627" t="s">
        <v>30</v>
      </c>
      <c r="H627" t="s">
        <v>1294</v>
      </c>
    </row>
    <row r="628" spans="1:8" x14ac:dyDescent="0.25">
      <c r="A628">
        <v>784</v>
      </c>
      <c r="B628">
        <v>1094</v>
      </c>
      <c r="C628" t="s">
        <v>22</v>
      </c>
      <c r="D628" t="s">
        <v>32</v>
      </c>
      <c r="E628" t="s">
        <v>646</v>
      </c>
      <c r="G628" t="s">
        <v>27</v>
      </c>
      <c r="H628" t="s">
        <v>1295</v>
      </c>
    </row>
    <row r="629" spans="1:8" x14ac:dyDescent="0.25">
      <c r="A629">
        <v>945</v>
      </c>
      <c r="B629">
        <v>997</v>
      </c>
      <c r="C629" t="s">
        <v>22</v>
      </c>
      <c r="D629" t="s">
        <v>328</v>
      </c>
      <c r="E629" t="s">
        <v>785</v>
      </c>
      <c r="F629">
        <v>127308</v>
      </c>
      <c r="G629" t="s">
        <v>27</v>
      </c>
      <c r="H629" t="s">
        <v>1296</v>
      </c>
    </row>
    <row r="630" spans="1:8" x14ac:dyDescent="0.25">
      <c r="A630">
        <v>778</v>
      </c>
      <c r="B630">
        <v>740</v>
      </c>
      <c r="C630" t="s">
        <v>22</v>
      </c>
      <c r="D630" t="s">
        <v>32</v>
      </c>
      <c r="E630" t="s">
        <v>640</v>
      </c>
      <c r="F630">
        <v>125050</v>
      </c>
      <c r="G630" t="s">
        <v>62</v>
      </c>
      <c r="H630" t="s">
        <v>1297</v>
      </c>
    </row>
    <row r="631" spans="1:8" x14ac:dyDescent="0.25">
      <c r="A631">
        <v>920</v>
      </c>
      <c r="B631">
        <v>1049</v>
      </c>
      <c r="C631" t="s">
        <v>22</v>
      </c>
      <c r="D631" t="s">
        <v>440</v>
      </c>
      <c r="E631" t="s">
        <v>761</v>
      </c>
      <c r="F631">
        <v>123403</v>
      </c>
      <c r="G631" t="s">
        <v>30</v>
      </c>
      <c r="H631" t="s">
        <v>1298</v>
      </c>
    </row>
    <row r="632" spans="1:8" x14ac:dyDescent="0.25">
      <c r="A632">
        <v>989</v>
      </c>
      <c r="B632">
        <v>1048</v>
      </c>
      <c r="C632" t="s">
        <v>22</v>
      </c>
      <c r="D632" t="s">
        <v>32</v>
      </c>
      <c r="E632" t="s">
        <v>824</v>
      </c>
      <c r="F632">
        <v>125120</v>
      </c>
      <c r="G632" t="s">
        <v>27</v>
      </c>
      <c r="H632" t="s">
        <v>1299</v>
      </c>
    </row>
    <row r="633" spans="1:8" x14ac:dyDescent="0.25">
      <c r="A633">
        <v>121</v>
      </c>
      <c r="B633">
        <v>832</v>
      </c>
      <c r="C633" t="s">
        <v>22</v>
      </c>
      <c r="D633" t="s">
        <v>42</v>
      </c>
      <c r="E633" t="s">
        <v>89</v>
      </c>
      <c r="F633">
        <v>125113</v>
      </c>
      <c r="G633" t="s">
        <v>27</v>
      </c>
      <c r="H633" t="s">
        <v>858</v>
      </c>
    </row>
    <row r="634" spans="1:8" x14ac:dyDescent="0.25">
      <c r="A634">
        <v>148</v>
      </c>
      <c r="B634">
        <v>310</v>
      </c>
      <c r="C634" t="s">
        <v>22</v>
      </c>
      <c r="D634" t="s">
        <v>42</v>
      </c>
      <c r="E634" t="s">
        <v>127</v>
      </c>
      <c r="F634">
        <v>125001</v>
      </c>
      <c r="G634" t="s">
        <v>125</v>
      </c>
      <c r="H634" t="s">
        <v>1300</v>
      </c>
    </row>
    <row r="635" spans="1:8" x14ac:dyDescent="0.25">
      <c r="A635">
        <v>910</v>
      </c>
      <c r="B635">
        <v>1056</v>
      </c>
      <c r="C635" t="s">
        <v>22</v>
      </c>
      <c r="D635" t="s">
        <v>440</v>
      </c>
      <c r="E635" t="s">
        <v>753</v>
      </c>
      <c r="F635">
        <v>123401</v>
      </c>
      <c r="G635" t="s">
        <v>30</v>
      </c>
      <c r="H635" t="s">
        <v>1301</v>
      </c>
    </row>
    <row r="636" spans="1:8" x14ac:dyDescent="0.25">
      <c r="A636">
        <v>957</v>
      </c>
      <c r="B636">
        <v>996</v>
      </c>
      <c r="C636" t="s">
        <v>22</v>
      </c>
      <c r="D636" t="s">
        <v>328</v>
      </c>
      <c r="E636" t="s">
        <v>797</v>
      </c>
      <c r="F636">
        <v>127030</v>
      </c>
      <c r="G636" t="s">
        <v>27</v>
      </c>
      <c r="H636" t="s">
        <v>1302</v>
      </c>
    </row>
    <row r="637" spans="1:8" x14ac:dyDescent="0.25">
      <c r="A637">
        <v>917</v>
      </c>
      <c r="B637">
        <v>928</v>
      </c>
      <c r="C637" t="s">
        <v>22</v>
      </c>
      <c r="D637" t="s">
        <v>440</v>
      </c>
      <c r="E637" t="s">
        <v>758</v>
      </c>
      <c r="F637">
        <v>123401</v>
      </c>
      <c r="G637" t="s">
        <v>30</v>
      </c>
      <c r="H637" t="s">
        <v>1303</v>
      </c>
    </row>
    <row r="638" spans="1:8" x14ac:dyDescent="0.25">
      <c r="A638">
        <v>911</v>
      </c>
      <c r="B638">
        <v>1051</v>
      </c>
      <c r="C638" t="s">
        <v>22</v>
      </c>
      <c r="D638" t="s">
        <v>440</v>
      </c>
      <c r="E638" t="s">
        <v>754</v>
      </c>
      <c r="F638">
        <v>123103</v>
      </c>
      <c r="G638" t="s">
        <v>30</v>
      </c>
      <c r="H638" t="s">
        <v>1157</v>
      </c>
    </row>
    <row r="639" spans="1:8" x14ac:dyDescent="0.25">
      <c r="A639">
        <v>125</v>
      </c>
      <c r="B639">
        <v>1040</v>
      </c>
      <c r="C639" t="s">
        <v>22</v>
      </c>
      <c r="D639" t="s">
        <v>42</v>
      </c>
      <c r="E639" t="s">
        <v>107</v>
      </c>
      <c r="F639">
        <v>125112</v>
      </c>
      <c r="G639" t="s">
        <v>27</v>
      </c>
      <c r="H639" t="s">
        <v>867</v>
      </c>
    </row>
    <row r="640" spans="1:8" x14ac:dyDescent="0.25">
      <c r="A640">
        <v>128</v>
      </c>
      <c r="B640">
        <v>1046</v>
      </c>
      <c r="C640" t="s">
        <v>22</v>
      </c>
      <c r="D640" t="s">
        <v>42</v>
      </c>
      <c r="E640" t="s">
        <v>110</v>
      </c>
      <c r="F640">
        <v>125049</v>
      </c>
      <c r="G640" t="s">
        <v>27</v>
      </c>
      <c r="H640" t="s">
        <v>1304</v>
      </c>
    </row>
    <row r="641" spans="1:8" x14ac:dyDescent="0.25">
      <c r="A641">
        <v>946</v>
      </c>
      <c r="B641">
        <v>1018</v>
      </c>
      <c r="C641" t="s">
        <v>22</v>
      </c>
      <c r="D641" t="s">
        <v>328</v>
      </c>
      <c r="E641" t="s">
        <v>786</v>
      </c>
      <c r="F641">
        <v>127201</v>
      </c>
      <c r="G641" t="s">
        <v>27</v>
      </c>
      <c r="H641" t="s">
        <v>1305</v>
      </c>
    </row>
    <row r="642" spans="1:8" x14ac:dyDescent="0.25">
      <c r="A642">
        <v>944</v>
      </c>
      <c r="B642">
        <v>1022</v>
      </c>
      <c r="C642" t="s">
        <v>22</v>
      </c>
      <c r="D642" t="s">
        <v>328</v>
      </c>
      <c r="E642" t="s">
        <v>784</v>
      </c>
      <c r="F642">
        <v>127028</v>
      </c>
      <c r="G642" t="s">
        <v>27</v>
      </c>
      <c r="H642" t="s">
        <v>1306</v>
      </c>
    </row>
    <row r="643" spans="1:8" x14ac:dyDescent="0.25">
      <c r="A643">
        <v>365</v>
      </c>
      <c r="B643">
        <v>889</v>
      </c>
      <c r="C643" t="s">
        <v>22</v>
      </c>
      <c r="D643" t="s">
        <v>298</v>
      </c>
      <c r="E643" t="s">
        <v>313</v>
      </c>
      <c r="F643">
        <v>136136</v>
      </c>
      <c r="G643" t="s">
        <v>27</v>
      </c>
      <c r="H643" t="s">
        <v>841</v>
      </c>
    </row>
    <row r="644" spans="1:8" x14ac:dyDescent="0.25">
      <c r="A644">
        <v>923</v>
      </c>
      <c r="B644">
        <v>930</v>
      </c>
      <c r="C644" t="s">
        <v>22</v>
      </c>
      <c r="D644" t="s">
        <v>440</v>
      </c>
      <c r="E644" t="s">
        <v>764</v>
      </c>
      <c r="F644">
        <v>123302</v>
      </c>
      <c r="G644" t="s">
        <v>77</v>
      </c>
      <c r="H644" t="s">
        <v>1307</v>
      </c>
    </row>
    <row r="645" spans="1:8" x14ac:dyDescent="0.25">
      <c r="A645">
        <v>947</v>
      </c>
      <c r="B645">
        <v>1059</v>
      </c>
      <c r="C645" t="s">
        <v>22</v>
      </c>
      <c r="D645" t="s">
        <v>328</v>
      </c>
      <c r="E645" t="s">
        <v>787</v>
      </c>
      <c r="F645">
        <v>127201</v>
      </c>
      <c r="G645" t="s">
        <v>27</v>
      </c>
      <c r="H645" t="s">
        <v>1308</v>
      </c>
    </row>
    <row r="646" spans="1:8" x14ac:dyDescent="0.25">
      <c r="A646">
        <v>800</v>
      </c>
      <c r="B646">
        <v>1089</v>
      </c>
      <c r="C646" t="s">
        <v>22</v>
      </c>
      <c r="D646" t="s">
        <v>32</v>
      </c>
      <c r="E646" t="s">
        <v>621</v>
      </c>
      <c r="G646" t="s">
        <v>30</v>
      </c>
      <c r="H646" t="s">
        <v>1309</v>
      </c>
    </row>
    <row r="647" spans="1:8" x14ac:dyDescent="0.25">
      <c r="A647">
        <v>904</v>
      </c>
      <c r="B647">
        <v>1099</v>
      </c>
      <c r="C647" t="s">
        <v>22</v>
      </c>
      <c r="D647" t="s">
        <v>23</v>
      </c>
      <c r="E647" t="s">
        <v>746</v>
      </c>
      <c r="F647">
        <v>133001</v>
      </c>
      <c r="G647" t="s">
        <v>30</v>
      </c>
      <c r="H647" t="s">
        <v>1106</v>
      </c>
    </row>
    <row r="648" spans="1:8" x14ac:dyDescent="0.25">
      <c r="A648">
        <v>914</v>
      </c>
      <c r="B648">
        <v>1055</v>
      </c>
      <c r="C648" t="s">
        <v>22</v>
      </c>
      <c r="D648" t="s">
        <v>440</v>
      </c>
      <c r="E648" t="s">
        <v>756</v>
      </c>
      <c r="F648">
        <v>123401</v>
      </c>
      <c r="G648" t="s">
        <v>30</v>
      </c>
      <c r="H648" t="s">
        <v>1310</v>
      </c>
    </row>
    <row r="649" spans="1:8" x14ac:dyDescent="0.25">
      <c r="A649">
        <v>934</v>
      </c>
      <c r="B649">
        <v>949</v>
      </c>
      <c r="C649" t="s">
        <v>22</v>
      </c>
      <c r="D649" t="s">
        <v>328</v>
      </c>
      <c r="E649" t="s">
        <v>775</v>
      </c>
      <c r="F649">
        <v>127029</v>
      </c>
      <c r="G649" t="s">
        <v>24</v>
      </c>
      <c r="H649" t="s">
        <v>853</v>
      </c>
    </row>
    <row r="650" spans="1:8" x14ac:dyDescent="0.25">
      <c r="A650">
        <v>880</v>
      </c>
      <c r="B650">
        <v>1375</v>
      </c>
      <c r="C650" t="s">
        <v>22</v>
      </c>
      <c r="D650" t="s">
        <v>23</v>
      </c>
      <c r="E650" t="s">
        <v>725</v>
      </c>
      <c r="F650">
        <v>600038</v>
      </c>
      <c r="G650" t="s">
        <v>30</v>
      </c>
      <c r="H650" t="s">
        <v>1311</v>
      </c>
    </row>
    <row r="651" spans="1:8" x14ac:dyDescent="0.25">
      <c r="A651">
        <v>134</v>
      </c>
      <c r="B651">
        <v>1047</v>
      </c>
      <c r="C651" t="s">
        <v>22</v>
      </c>
      <c r="D651" t="s">
        <v>42</v>
      </c>
      <c r="E651" t="s">
        <v>117</v>
      </c>
      <c r="F651">
        <v>125052</v>
      </c>
      <c r="G651" t="s">
        <v>27</v>
      </c>
      <c r="H651" t="s">
        <v>1312</v>
      </c>
    </row>
    <row r="652" spans="1:8" x14ac:dyDescent="0.25">
      <c r="A652">
        <v>790</v>
      </c>
      <c r="B652">
        <v>1013</v>
      </c>
      <c r="C652" t="s">
        <v>22</v>
      </c>
      <c r="D652" t="s">
        <v>32</v>
      </c>
      <c r="E652" t="s">
        <v>649</v>
      </c>
      <c r="F652">
        <v>125133</v>
      </c>
      <c r="G652" t="s">
        <v>27</v>
      </c>
      <c r="H652" t="s">
        <v>1313</v>
      </c>
    </row>
    <row r="653" spans="1:8" x14ac:dyDescent="0.25">
      <c r="A653">
        <v>131</v>
      </c>
      <c r="B653">
        <v>1052</v>
      </c>
      <c r="C653" t="s">
        <v>22</v>
      </c>
      <c r="D653" t="s">
        <v>42</v>
      </c>
      <c r="E653" t="s">
        <v>114</v>
      </c>
      <c r="F653">
        <v>125039</v>
      </c>
      <c r="G653" t="s">
        <v>27</v>
      </c>
      <c r="H653" t="s">
        <v>1314</v>
      </c>
    </row>
    <row r="654" spans="1:8" x14ac:dyDescent="0.25">
      <c r="A654">
        <v>118</v>
      </c>
      <c r="B654">
        <v>1061</v>
      </c>
      <c r="C654" t="s">
        <v>22</v>
      </c>
      <c r="D654" t="s">
        <v>42</v>
      </c>
      <c r="E654" t="s">
        <v>75</v>
      </c>
      <c r="F654">
        <v>125006</v>
      </c>
      <c r="G654" t="s">
        <v>27</v>
      </c>
      <c r="H654" t="s">
        <v>924</v>
      </c>
    </row>
    <row r="655" spans="1:8" x14ac:dyDescent="0.25">
      <c r="A655">
        <v>909</v>
      </c>
      <c r="B655">
        <v>870</v>
      </c>
      <c r="C655" t="s">
        <v>22</v>
      </c>
      <c r="D655" t="s">
        <v>440</v>
      </c>
      <c r="E655" t="s">
        <v>751</v>
      </c>
      <c r="F655">
        <v>123404</v>
      </c>
      <c r="G655" t="s">
        <v>30</v>
      </c>
      <c r="H655" t="s">
        <v>1315</v>
      </c>
    </row>
    <row r="656" spans="1:8" x14ac:dyDescent="0.25">
      <c r="A656">
        <v>803</v>
      </c>
      <c r="B656">
        <v>1083</v>
      </c>
      <c r="C656" t="s">
        <v>22</v>
      </c>
      <c r="D656" t="s">
        <v>32</v>
      </c>
      <c r="E656" t="s">
        <v>626</v>
      </c>
      <c r="G656" t="s">
        <v>30</v>
      </c>
      <c r="H656" t="s">
        <v>1316</v>
      </c>
    </row>
    <row r="657" spans="1:8" x14ac:dyDescent="0.25">
      <c r="A657">
        <v>140</v>
      </c>
      <c r="B657">
        <v>1060</v>
      </c>
      <c r="C657" t="s">
        <v>22</v>
      </c>
      <c r="D657" t="s">
        <v>42</v>
      </c>
      <c r="E657" t="s">
        <v>124</v>
      </c>
      <c r="F657">
        <v>125049</v>
      </c>
      <c r="G657" t="s">
        <v>27</v>
      </c>
      <c r="H657" t="s">
        <v>887</v>
      </c>
    </row>
    <row r="658" spans="1:8" x14ac:dyDescent="0.25">
      <c r="A658">
        <v>895</v>
      </c>
      <c r="B658">
        <v>797</v>
      </c>
      <c r="C658" t="s">
        <v>22</v>
      </c>
      <c r="D658" t="s">
        <v>298</v>
      </c>
      <c r="E658" t="s">
        <v>738</v>
      </c>
      <c r="F658">
        <v>136118</v>
      </c>
      <c r="G658" t="s">
        <v>30</v>
      </c>
      <c r="H658" t="s">
        <v>1317</v>
      </c>
    </row>
    <row r="659" spans="1:8" x14ac:dyDescent="0.25">
      <c r="A659">
        <v>779</v>
      </c>
      <c r="B659">
        <v>1092</v>
      </c>
      <c r="C659" t="s">
        <v>22</v>
      </c>
      <c r="D659" t="s">
        <v>32</v>
      </c>
      <c r="E659" t="s">
        <v>641</v>
      </c>
      <c r="F659">
        <v>125051</v>
      </c>
      <c r="G659" t="s">
        <v>27</v>
      </c>
      <c r="H659" t="s">
        <v>853</v>
      </c>
    </row>
    <row r="660" spans="1:8" x14ac:dyDescent="0.25">
      <c r="A660">
        <v>329</v>
      </c>
      <c r="B660">
        <v>288</v>
      </c>
      <c r="C660" t="s">
        <v>22</v>
      </c>
      <c r="D660" t="s">
        <v>254</v>
      </c>
      <c r="E660" t="s">
        <v>288</v>
      </c>
      <c r="F660">
        <v>132001</v>
      </c>
      <c r="G660" t="s">
        <v>30</v>
      </c>
      <c r="H660" t="s">
        <v>965</v>
      </c>
    </row>
    <row r="661" spans="1:8" x14ac:dyDescent="0.25">
      <c r="A661">
        <v>889</v>
      </c>
      <c r="B661">
        <v>795</v>
      </c>
      <c r="C661" t="s">
        <v>22</v>
      </c>
      <c r="D661" t="s">
        <v>298</v>
      </c>
      <c r="E661" t="s">
        <v>733</v>
      </c>
      <c r="F661">
        <v>136118</v>
      </c>
      <c r="G661" t="s">
        <v>30</v>
      </c>
      <c r="H661" t="s">
        <v>874</v>
      </c>
    </row>
    <row r="662" spans="1:8" x14ac:dyDescent="0.25">
      <c r="A662">
        <v>117</v>
      </c>
      <c r="B662">
        <v>1030</v>
      </c>
      <c r="C662" t="s">
        <v>22</v>
      </c>
      <c r="D662" t="s">
        <v>42</v>
      </c>
      <c r="E662" t="s">
        <v>74</v>
      </c>
      <c r="F662">
        <v>125001</v>
      </c>
      <c r="G662" t="s">
        <v>27</v>
      </c>
      <c r="H662" t="s">
        <v>867</v>
      </c>
    </row>
    <row r="663" spans="1:8" x14ac:dyDescent="0.25">
      <c r="A663">
        <v>891</v>
      </c>
      <c r="B663">
        <v>906</v>
      </c>
      <c r="C663" t="s">
        <v>22</v>
      </c>
      <c r="D663" t="s">
        <v>298</v>
      </c>
      <c r="E663" t="s">
        <v>1318</v>
      </c>
      <c r="F663">
        <v>136135</v>
      </c>
      <c r="G663" t="s">
        <v>30</v>
      </c>
      <c r="H663" t="s">
        <v>1319</v>
      </c>
    </row>
    <row r="664" spans="1:8" x14ac:dyDescent="0.25">
      <c r="A664">
        <v>382</v>
      </c>
      <c r="B664">
        <v>1108</v>
      </c>
      <c r="C664" t="s">
        <v>22</v>
      </c>
      <c r="D664" t="s">
        <v>298</v>
      </c>
      <c r="E664" t="s">
        <v>323</v>
      </c>
      <c r="G664" t="s">
        <v>30</v>
      </c>
      <c r="H664" t="s">
        <v>1292</v>
      </c>
    </row>
    <row r="665" spans="1:8" x14ac:dyDescent="0.25">
      <c r="A665">
        <v>368</v>
      </c>
      <c r="B665">
        <v>893</v>
      </c>
      <c r="C665" t="s">
        <v>22</v>
      </c>
      <c r="D665" t="s">
        <v>298</v>
      </c>
      <c r="E665" t="s">
        <v>316</v>
      </c>
      <c r="F665">
        <v>136128</v>
      </c>
      <c r="G665" t="s">
        <v>27</v>
      </c>
      <c r="H665" t="s">
        <v>947</v>
      </c>
    </row>
    <row r="666" spans="1:8" x14ac:dyDescent="0.25">
      <c r="A666">
        <v>135</v>
      </c>
      <c r="B666">
        <v>1078</v>
      </c>
      <c r="C666" t="s">
        <v>22</v>
      </c>
      <c r="D666" t="s">
        <v>42</v>
      </c>
      <c r="E666" t="s">
        <v>118</v>
      </c>
      <c r="F666">
        <v>125004</v>
      </c>
      <c r="G666" t="s">
        <v>27</v>
      </c>
      <c r="H666" t="s">
        <v>1320</v>
      </c>
    </row>
    <row r="667" spans="1:8" x14ac:dyDescent="0.25">
      <c r="A667">
        <v>305</v>
      </c>
      <c r="B667">
        <v>810</v>
      </c>
      <c r="C667" t="s">
        <v>22</v>
      </c>
      <c r="D667" t="s">
        <v>254</v>
      </c>
      <c r="E667" t="s">
        <v>279</v>
      </c>
      <c r="F667">
        <v>132037</v>
      </c>
      <c r="G667" t="s">
        <v>27</v>
      </c>
      <c r="H667" t="s">
        <v>1321</v>
      </c>
    </row>
    <row r="668" spans="1:8" x14ac:dyDescent="0.25">
      <c r="A668">
        <v>880</v>
      </c>
      <c r="B668">
        <v>1190</v>
      </c>
      <c r="C668" t="s">
        <v>22</v>
      </c>
      <c r="D668" t="s">
        <v>23</v>
      </c>
      <c r="E668" t="s">
        <v>725</v>
      </c>
      <c r="F668">
        <v>600038</v>
      </c>
      <c r="G668" t="s">
        <v>30</v>
      </c>
      <c r="H668" t="s">
        <v>1322</v>
      </c>
    </row>
    <row r="669" spans="1:8" x14ac:dyDescent="0.25">
      <c r="A669">
        <v>635</v>
      </c>
      <c r="B669">
        <v>1113</v>
      </c>
      <c r="C669" t="s">
        <v>22</v>
      </c>
      <c r="D669" t="s">
        <v>536</v>
      </c>
      <c r="E669" t="s">
        <v>539</v>
      </c>
      <c r="F669">
        <v>124514</v>
      </c>
      <c r="G669" t="s">
        <v>24</v>
      </c>
      <c r="H669" t="s">
        <v>1323</v>
      </c>
    </row>
    <row r="670" spans="1:8" x14ac:dyDescent="0.25">
      <c r="A670">
        <v>369</v>
      </c>
      <c r="B670">
        <v>1068</v>
      </c>
      <c r="C670" t="s">
        <v>22</v>
      </c>
      <c r="D670" t="s">
        <v>298</v>
      </c>
      <c r="E670" t="s">
        <v>317</v>
      </c>
      <c r="F670">
        <v>136129</v>
      </c>
      <c r="G670" t="s">
        <v>27</v>
      </c>
      <c r="H670" t="s">
        <v>1324</v>
      </c>
    </row>
    <row r="671" spans="1:8" x14ac:dyDescent="0.25">
      <c r="A671">
        <v>135</v>
      </c>
      <c r="B671">
        <v>1042</v>
      </c>
      <c r="C671" t="s">
        <v>22</v>
      </c>
      <c r="D671" t="s">
        <v>42</v>
      </c>
      <c r="E671" t="s">
        <v>118</v>
      </c>
      <c r="F671">
        <v>125004</v>
      </c>
      <c r="G671" t="s">
        <v>27</v>
      </c>
      <c r="H671" t="s">
        <v>1320</v>
      </c>
    </row>
    <row r="672" spans="1:8" x14ac:dyDescent="0.25">
      <c r="A672">
        <v>370</v>
      </c>
      <c r="B672">
        <v>1080</v>
      </c>
      <c r="C672" t="s">
        <v>22</v>
      </c>
      <c r="D672" t="s">
        <v>298</v>
      </c>
      <c r="E672" t="s">
        <v>319</v>
      </c>
      <c r="F672">
        <v>136131</v>
      </c>
      <c r="G672" t="s">
        <v>27</v>
      </c>
      <c r="H672" t="s">
        <v>1325</v>
      </c>
    </row>
    <row r="673" spans="1:8" x14ac:dyDescent="0.25">
      <c r="A673">
        <v>988</v>
      </c>
      <c r="B673">
        <v>1115</v>
      </c>
      <c r="C673" t="s">
        <v>22</v>
      </c>
      <c r="D673" t="s">
        <v>32</v>
      </c>
      <c r="E673" t="s">
        <v>823</v>
      </c>
      <c r="F673">
        <v>125107</v>
      </c>
      <c r="G673" t="s">
        <v>27</v>
      </c>
      <c r="H673" t="s">
        <v>1326</v>
      </c>
    </row>
    <row r="674" spans="1:8" x14ac:dyDescent="0.25">
      <c r="A674">
        <v>489</v>
      </c>
      <c r="B674">
        <v>386</v>
      </c>
      <c r="C674" t="s">
        <v>22</v>
      </c>
      <c r="D674" t="s">
        <v>367</v>
      </c>
      <c r="E674" t="s">
        <v>400</v>
      </c>
      <c r="F674">
        <v>132103</v>
      </c>
      <c r="G674" t="s">
        <v>30</v>
      </c>
      <c r="H674" t="s">
        <v>1327</v>
      </c>
    </row>
    <row r="675" spans="1:8" x14ac:dyDescent="0.25">
      <c r="A675">
        <v>880</v>
      </c>
      <c r="B675">
        <v>768</v>
      </c>
      <c r="C675" t="s">
        <v>22</v>
      </c>
      <c r="D675" t="s">
        <v>23</v>
      </c>
      <c r="E675" t="s">
        <v>725</v>
      </c>
      <c r="F675">
        <v>600038</v>
      </c>
      <c r="G675" t="s">
        <v>30</v>
      </c>
      <c r="H675" t="s">
        <v>1322</v>
      </c>
    </row>
    <row r="676" spans="1:8" x14ac:dyDescent="0.25">
      <c r="A676">
        <v>902</v>
      </c>
      <c r="B676">
        <v>841</v>
      </c>
      <c r="C676" t="s">
        <v>22</v>
      </c>
      <c r="D676" t="s">
        <v>166</v>
      </c>
      <c r="E676" t="s">
        <v>745</v>
      </c>
      <c r="F676">
        <v>124505</v>
      </c>
      <c r="G676" t="s">
        <v>27</v>
      </c>
      <c r="H676" t="s">
        <v>1328</v>
      </c>
    </row>
    <row r="677" spans="1:8" x14ac:dyDescent="0.25">
      <c r="A677">
        <v>918</v>
      </c>
      <c r="B677">
        <v>1073</v>
      </c>
      <c r="C677" t="s">
        <v>22</v>
      </c>
      <c r="D677" t="s">
        <v>440</v>
      </c>
      <c r="E677" t="s">
        <v>759</v>
      </c>
      <c r="F677">
        <v>123401</v>
      </c>
      <c r="G677" t="s">
        <v>30</v>
      </c>
      <c r="H677" t="s">
        <v>990</v>
      </c>
    </row>
    <row r="678" spans="1:8" x14ac:dyDescent="0.25">
      <c r="A678">
        <v>969</v>
      </c>
      <c r="B678">
        <v>1029</v>
      </c>
      <c r="C678" t="s">
        <v>22</v>
      </c>
      <c r="D678" t="s">
        <v>328</v>
      </c>
      <c r="E678" t="s">
        <v>809</v>
      </c>
      <c r="F678">
        <v>127046</v>
      </c>
      <c r="G678" t="s">
        <v>77</v>
      </c>
      <c r="H678" t="s">
        <v>1329</v>
      </c>
    </row>
    <row r="679" spans="1:8" x14ac:dyDescent="0.25">
      <c r="A679">
        <v>883</v>
      </c>
      <c r="B679">
        <v>865</v>
      </c>
      <c r="C679" t="s">
        <v>22</v>
      </c>
      <c r="D679" t="s">
        <v>298</v>
      </c>
      <c r="E679" t="s">
        <v>1330</v>
      </c>
      <c r="F679">
        <v>136118</v>
      </c>
      <c r="G679" t="s">
        <v>24</v>
      </c>
      <c r="H679" t="s">
        <v>1331</v>
      </c>
    </row>
    <row r="680" spans="1:8" x14ac:dyDescent="0.25">
      <c r="A680">
        <v>754</v>
      </c>
      <c r="B680">
        <v>481</v>
      </c>
      <c r="C680" t="s">
        <v>22</v>
      </c>
      <c r="D680" t="s">
        <v>298</v>
      </c>
      <c r="E680" t="s">
        <v>629</v>
      </c>
      <c r="F680">
        <v>136128</v>
      </c>
      <c r="G680" t="s">
        <v>77</v>
      </c>
      <c r="H680" t="s">
        <v>1332</v>
      </c>
    </row>
    <row r="681" spans="1:8" x14ac:dyDescent="0.25">
      <c r="A681">
        <v>985</v>
      </c>
      <c r="B681">
        <v>982</v>
      </c>
      <c r="C681" t="s">
        <v>22</v>
      </c>
      <c r="D681" t="s">
        <v>328</v>
      </c>
      <c r="E681" t="s">
        <v>776</v>
      </c>
      <c r="F681">
        <v>127046</v>
      </c>
      <c r="G681" t="s">
        <v>24</v>
      </c>
      <c r="H681" t="s">
        <v>858</v>
      </c>
    </row>
    <row r="682" spans="1:8" x14ac:dyDescent="0.25">
      <c r="A682">
        <v>891</v>
      </c>
      <c r="B682">
        <v>1079</v>
      </c>
      <c r="C682" t="s">
        <v>22</v>
      </c>
      <c r="D682" t="s">
        <v>298</v>
      </c>
      <c r="E682" t="s">
        <v>1318</v>
      </c>
      <c r="F682">
        <v>136135</v>
      </c>
      <c r="G682" t="s">
        <v>30</v>
      </c>
      <c r="H682" t="s">
        <v>1319</v>
      </c>
    </row>
    <row r="683" spans="1:8" x14ac:dyDescent="0.25">
      <c r="A683">
        <v>804</v>
      </c>
      <c r="B683">
        <v>802</v>
      </c>
      <c r="C683" t="s">
        <v>22</v>
      </c>
      <c r="D683" t="s">
        <v>32</v>
      </c>
      <c r="E683" t="s">
        <v>661</v>
      </c>
      <c r="F683">
        <v>125051</v>
      </c>
      <c r="G683" t="s">
        <v>77</v>
      </c>
      <c r="H683" t="s">
        <v>1333</v>
      </c>
    </row>
    <row r="684" spans="1:8" x14ac:dyDescent="0.25">
      <c r="A684">
        <v>367</v>
      </c>
      <c r="B684">
        <v>830</v>
      </c>
      <c r="C684" t="s">
        <v>22</v>
      </c>
      <c r="D684" t="s">
        <v>298</v>
      </c>
      <c r="E684" t="s">
        <v>315</v>
      </c>
      <c r="F684">
        <v>136030</v>
      </c>
      <c r="G684" t="s">
        <v>27</v>
      </c>
      <c r="H684" t="s">
        <v>1334</v>
      </c>
    </row>
    <row r="685" spans="1:8" x14ac:dyDescent="0.25">
      <c r="A685">
        <v>118</v>
      </c>
      <c r="B685">
        <v>1063</v>
      </c>
      <c r="C685" t="s">
        <v>22</v>
      </c>
      <c r="D685" t="s">
        <v>42</v>
      </c>
      <c r="E685" t="s">
        <v>75</v>
      </c>
      <c r="F685">
        <v>125006</v>
      </c>
      <c r="G685" t="s">
        <v>27</v>
      </c>
      <c r="H685" t="s">
        <v>924</v>
      </c>
    </row>
    <row r="686" spans="1:8" x14ac:dyDescent="0.25">
      <c r="A686">
        <v>438</v>
      </c>
      <c r="B686">
        <v>1124</v>
      </c>
      <c r="C686" t="s">
        <v>22</v>
      </c>
      <c r="D686" t="s">
        <v>38</v>
      </c>
      <c r="E686" t="s">
        <v>360</v>
      </c>
      <c r="F686">
        <v>134102</v>
      </c>
      <c r="G686" t="s">
        <v>24</v>
      </c>
      <c r="H686" t="s">
        <v>1335</v>
      </c>
    </row>
    <row r="687" spans="1:8" x14ac:dyDescent="0.25">
      <c r="A687">
        <v>137</v>
      </c>
      <c r="B687">
        <v>1175</v>
      </c>
      <c r="C687" t="s">
        <v>22</v>
      </c>
      <c r="D687" t="s">
        <v>42</v>
      </c>
      <c r="E687" t="s">
        <v>120</v>
      </c>
      <c r="F687">
        <v>125042</v>
      </c>
      <c r="G687" t="s">
        <v>27</v>
      </c>
      <c r="H687" t="s">
        <v>1336</v>
      </c>
    </row>
    <row r="688" spans="1:8" x14ac:dyDescent="0.25">
      <c r="A688">
        <v>781</v>
      </c>
      <c r="B688">
        <v>1007</v>
      </c>
      <c r="C688" t="s">
        <v>22</v>
      </c>
      <c r="D688" t="s">
        <v>32</v>
      </c>
      <c r="E688" t="s">
        <v>643</v>
      </c>
      <c r="F688">
        <v>125051</v>
      </c>
      <c r="G688" t="s">
        <v>27</v>
      </c>
      <c r="H688" t="s">
        <v>867</v>
      </c>
    </row>
    <row r="689" spans="1:8" x14ac:dyDescent="0.25">
      <c r="A689">
        <v>900</v>
      </c>
      <c r="B689">
        <v>1069</v>
      </c>
      <c r="C689" t="s">
        <v>22</v>
      </c>
      <c r="D689" t="s">
        <v>166</v>
      </c>
      <c r="E689" t="s">
        <v>743</v>
      </c>
      <c r="F689">
        <v>124102</v>
      </c>
      <c r="G689" t="s">
        <v>27</v>
      </c>
      <c r="H689" t="s">
        <v>1337</v>
      </c>
    </row>
    <row r="690" spans="1:8" x14ac:dyDescent="0.25">
      <c r="A690">
        <v>362</v>
      </c>
      <c r="B690">
        <v>300</v>
      </c>
      <c r="C690" t="s">
        <v>22</v>
      </c>
      <c r="D690" t="s">
        <v>298</v>
      </c>
      <c r="E690" t="s">
        <v>310</v>
      </c>
      <c r="F690">
        <v>136131</v>
      </c>
      <c r="G690" t="s">
        <v>27</v>
      </c>
      <c r="H690" t="s">
        <v>1338</v>
      </c>
    </row>
    <row r="691" spans="1:8" x14ac:dyDescent="0.25">
      <c r="A691">
        <v>301</v>
      </c>
      <c r="B691">
        <v>813</v>
      </c>
      <c r="C691" t="s">
        <v>22</v>
      </c>
      <c r="D691" t="s">
        <v>254</v>
      </c>
      <c r="E691" t="s">
        <v>275</v>
      </c>
      <c r="F691">
        <v>132037</v>
      </c>
      <c r="G691" t="s">
        <v>27</v>
      </c>
      <c r="H691" t="s">
        <v>841</v>
      </c>
    </row>
    <row r="692" spans="1:8" x14ac:dyDescent="0.25">
      <c r="A692">
        <v>947</v>
      </c>
      <c r="B692">
        <v>1065</v>
      </c>
      <c r="C692" t="s">
        <v>22</v>
      </c>
      <c r="D692" t="s">
        <v>328</v>
      </c>
      <c r="E692" t="s">
        <v>787</v>
      </c>
      <c r="F692">
        <v>127201</v>
      </c>
      <c r="G692" t="s">
        <v>27</v>
      </c>
      <c r="H692" t="s">
        <v>1339</v>
      </c>
    </row>
    <row r="693" spans="1:8" x14ac:dyDescent="0.25">
      <c r="A693">
        <v>968</v>
      </c>
      <c r="B693">
        <v>1028</v>
      </c>
      <c r="C693" t="s">
        <v>22</v>
      </c>
      <c r="D693" t="s">
        <v>328</v>
      </c>
      <c r="E693" t="s">
        <v>808</v>
      </c>
      <c r="F693">
        <v>127201</v>
      </c>
      <c r="G693" t="s">
        <v>77</v>
      </c>
      <c r="H693" t="s">
        <v>1340</v>
      </c>
    </row>
    <row r="694" spans="1:8" x14ac:dyDescent="0.25">
      <c r="A694">
        <v>130</v>
      </c>
      <c r="B694">
        <v>966</v>
      </c>
      <c r="C694" t="s">
        <v>22</v>
      </c>
      <c r="D694" t="s">
        <v>42</v>
      </c>
      <c r="E694" t="s">
        <v>113</v>
      </c>
      <c r="F694">
        <v>125033</v>
      </c>
      <c r="G694" t="s">
        <v>27</v>
      </c>
      <c r="H694" t="s">
        <v>1341</v>
      </c>
    </row>
    <row r="695" spans="1:8" x14ac:dyDescent="0.25">
      <c r="A695">
        <v>801</v>
      </c>
      <c r="B695">
        <v>1082</v>
      </c>
      <c r="C695" t="s">
        <v>22</v>
      </c>
      <c r="D695" t="s">
        <v>32</v>
      </c>
      <c r="E695" t="s">
        <v>660</v>
      </c>
      <c r="G695" t="s">
        <v>30</v>
      </c>
      <c r="H695" t="s">
        <v>1342</v>
      </c>
    </row>
    <row r="696" spans="1:8" x14ac:dyDescent="0.25">
      <c r="A696">
        <v>304</v>
      </c>
      <c r="B696">
        <v>361</v>
      </c>
      <c r="C696" t="s">
        <v>22</v>
      </c>
      <c r="D696" t="s">
        <v>254</v>
      </c>
      <c r="E696" t="s">
        <v>278</v>
      </c>
      <c r="F696">
        <v>132023</v>
      </c>
      <c r="G696" t="s">
        <v>27</v>
      </c>
      <c r="H696" t="s">
        <v>841</v>
      </c>
    </row>
    <row r="697" spans="1:8" x14ac:dyDescent="0.25">
      <c r="A697">
        <v>660</v>
      </c>
      <c r="B697">
        <v>546</v>
      </c>
      <c r="C697" t="s">
        <v>22</v>
      </c>
      <c r="D697" t="s">
        <v>536</v>
      </c>
      <c r="E697" t="s">
        <v>547</v>
      </c>
      <c r="F697">
        <v>124001</v>
      </c>
      <c r="G697" t="s">
        <v>30</v>
      </c>
      <c r="H697" t="s">
        <v>1343</v>
      </c>
    </row>
    <row r="698" spans="1:8" x14ac:dyDescent="0.25">
      <c r="A698">
        <v>107</v>
      </c>
      <c r="B698">
        <v>1039</v>
      </c>
      <c r="C698" t="s">
        <v>22</v>
      </c>
      <c r="D698" t="s">
        <v>42</v>
      </c>
      <c r="E698" t="s">
        <v>58</v>
      </c>
      <c r="F698">
        <v>125113</v>
      </c>
      <c r="G698" t="s">
        <v>24</v>
      </c>
      <c r="H698" t="s">
        <v>1344</v>
      </c>
    </row>
    <row r="699" spans="1:8" x14ac:dyDescent="0.25">
      <c r="A699">
        <v>795</v>
      </c>
      <c r="B699">
        <v>1093</v>
      </c>
      <c r="C699" t="s">
        <v>22</v>
      </c>
      <c r="D699" t="s">
        <v>32</v>
      </c>
      <c r="E699" t="s">
        <v>653</v>
      </c>
      <c r="F699">
        <v>125053</v>
      </c>
      <c r="G699" t="s">
        <v>27</v>
      </c>
      <c r="H699" t="s">
        <v>1345</v>
      </c>
    </row>
    <row r="700" spans="1:8" x14ac:dyDescent="0.25">
      <c r="A700">
        <v>164</v>
      </c>
      <c r="B700">
        <v>306</v>
      </c>
      <c r="C700" t="s">
        <v>22</v>
      </c>
      <c r="D700" t="s">
        <v>42</v>
      </c>
      <c r="E700" t="s">
        <v>136</v>
      </c>
      <c r="F700">
        <v>125001</v>
      </c>
      <c r="G700" t="s">
        <v>125</v>
      </c>
      <c r="H700" t="s">
        <v>1346</v>
      </c>
    </row>
    <row r="701" spans="1:8" x14ac:dyDescent="0.25">
      <c r="A701">
        <v>880</v>
      </c>
      <c r="B701">
        <v>1182</v>
      </c>
      <c r="C701" t="s">
        <v>22</v>
      </c>
      <c r="D701" t="s">
        <v>23</v>
      </c>
      <c r="E701" t="s">
        <v>725</v>
      </c>
      <c r="F701">
        <v>600038</v>
      </c>
      <c r="G701" t="s">
        <v>30</v>
      </c>
      <c r="H701" t="s">
        <v>1347</v>
      </c>
    </row>
    <row r="702" spans="1:8" x14ac:dyDescent="0.25">
      <c r="A702">
        <v>880</v>
      </c>
      <c r="B702">
        <v>1189</v>
      </c>
      <c r="C702" t="s">
        <v>22</v>
      </c>
      <c r="D702" t="s">
        <v>23</v>
      </c>
      <c r="E702" t="s">
        <v>725</v>
      </c>
      <c r="F702">
        <v>600038</v>
      </c>
      <c r="G702" t="s">
        <v>30</v>
      </c>
      <c r="H702" t="s">
        <v>1322</v>
      </c>
    </row>
    <row r="703" spans="1:8" x14ac:dyDescent="0.25">
      <c r="A703">
        <v>74</v>
      </c>
      <c r="B703">
        <v>1142</v>
      </c>
      <c r="C703" t="s">
        <v>22</v>
      </c>
      <c r="D703" t="s">
        <v>29</v>
      </c>
      <c r="E703" t="s">
        <v>619</v>
      </c>
      <c r="G703" t="s">
        <v>27</v>
      </c>
      <c r="H703" t="s">
        <v>1348</v>
      </c>
    </row>
    <row r="704" spans="1:8" x14ac:dyDescent="0.25">
      <c r="A704">
        <v>1218</v>
      </c>
      <c r="B704">
        <v>1284</v>
      </c>
      <c r="C704" t="s">
        <v>22</v>
      </c>
      <c r="D704" t="s">
        <v>64</v>
      </c>
      <c r="E704" t="s">
        <v>98</v>
      </c>
      <c r="F704">
        <v>121100</v>
      </c>
      <c r="G704" t="s">
        <v>24</v>
      </c>
      <c r="H704" t="s">
        <v>1349</v>
      </c>
    </row>
    <row r="705" spans="1:8" x14ac:dyDescent="0.25">
      <c r="A705">
        <v>138</v>
      </c>
      <c r="B705">
        <v>1054</v>
      </c>
      <c r="C705" t="s">
        <v>22</v>
      </c>
      <c r="D705" t="s">
        <v>42</v>
      </c>
      <c r="E705" t="s">
        <v>121</v>
      </c>
      <c r="F705">
        <v>125033</v>
      </c>
      <c r="G705" t="s">
        <v>27</v>
      </c>
      <c r="H705" t="s">
        <v>1350</v>
      </c>
    </row>
    <row r="706" spans="1:8" x14ac:dyDescent="0.25">
      <c r="A706">
        <v>94</v>
      </c>
      <c r="B706">
        <v>1136</v>
      </c>
      <c r="C706" t="s">
        <v>22</v>
      </c>
      <c r="D706" t="s">
        <v>29</v>
      </c>
      <c r="E706" t="s">
        <v>779</v>
      </c>
      <c r="F706">
        <v>122503</v>
      </c>
      <c r="G706" t="s">
        <v>77</v>
      </c>
      <c r="H706" t="s">
        <v>1219</v>
      </c>
    </row>
    <row r="707" spans="1:8" x14ac:dyDescent="0.25">
      <c r="A707">
        <v>300</v>
      </c>
      <c r="B707">
        <v>1155</v>
      </c>
      <c r="C707" t="s">
        <v>22</v>
      </c>
      <c r="D707" t="s">
        <v>254</v>
      </c>
      <c r="E707" t="s">
        <v>274</v>
      </c>
      <c r="F707">
        <v>132116</v>
      </c>
      <c r="G707" t="s">
        <v>27</v>
      </c>
      <c r="H707" t="s">
        <v>858</v>
      </c>
    </row>
    <row r="708" spans="1:8" x14ac:dyDescent="0.25">
      <c r="A708">
        <v>175</v>
      </c>
      <c r="B708">
        <v>1126</v>
      </c>
      <c r="C708" t="s">
        <v>22</v>
      </c>
      <c r="D708" t="s">
        <v>42</v>
      </c>
      <c r="E708" t="s">
        <v>139</v>
      </c>
      <c r="F708">
        <v>125001</v>
      </c>
      <c r="G708" t="s">
        <v>125</v>
      </c>
      <c r="H708" t="s">
        <v>1351</v>
      </c>
    </row>
    <row r="709" spans="1:8" x14ac:dyDescent="0.25">
      <c r="A709">
        <v>293</v>
      </c>
      <c r="B709">
        <v>812</v>
      </c>
      <c r="C709" t="s">
        <v>22</v>
      </c>
      <c r="D709" t="s">
        <v>254</v>
      </c>
      <c r="E709" t="s">
        <v>266</v>
      </c>
      <c r="F709">
        <v>132114</v>
      </c>
      <c r="G709" t="s">
        <v>27</v>
      </c>
      <c r="H709" t="s">
        <v>841</v>
      </c>
    </row>
    <row r="710" spans="1:8" x14ac:dyDescent="0.25">
      <c r="A710">
        <v>1217</v>
      </c>
      <c r="B710">
        <v>1256</v>
      </c>
      <c r="C710" t="s">
        <v>22</v>
      </c>
      <c r="D710" t="s">
        <v>64</v>
      </c>
      <c r="E710" t="s">
        <v>97</v>
      </c>
      <c r="F710">
        <v>121005</v>
      </c>
      <c r="G710" t="s">
        <v>27</v>
      </c>
      <c r="H710" t="s">
        <v>1352</v>
      </c>
    </row>
    <row r="711" spans="1:8" x14ac:dyDescent="0.25">
      <c r="A711">
        <v>880</v>
      </c>
      <c r="B711">
        <v>1398</v>
      </c>
      <c r="C711" t="s">
        <v>22</v>
      </c>
      <c r="D711" t="s">
        <v>23</v>
      </c>
      <c r="E711" t="s">
        <v>725</v>
      </c>
      <c r="F711">
        <v>600038</v>
      </c>
      <c r="G711" t="s">
        <v>30</v>
      </c>
      <c r="H711" t="s">
        <v>1353</v>
      </c>
    </row>
    <row r="712" spans="1:8" x14ac:dyDescent="0.25">
      <c r="A712">
        <v>618</v>
      </c>
      <c r="B712">
        <v>819</v>
      </c>
      <c r="C712" t="s">
        <v>22</v>
      </c>
      <c r="D712" t="s">
        <v>254</v>
      </c>
      <c r="E712" t="s">
        <v>523</v>
      </c>
      <c r="F712">
        <v>132116</v>
      </c>
      <c r="G712" t="s">
        <v>27</v>
      </c>
      <c r="H712" t="s">
        <v>947</v>
      </c>
    </row>
    <row r="713" spans="1:8" x14ac:dyDescent="0.25">
      <c r="A713">
        <v>880</v>
      </c>
      <c r="B713">
        <v>1179</v>
      </c>
      <c r="C713" t="s">
        <v>22</v>
      </c>
      <c r="D713" t="s">
        <v>23</v>
      </c>
      <c r="E713" t="s">
        <v>725</v>
      </c>
      <c r="F713">
        <v>600038</v>
      </c>
      <c r="G713" t="s">
        <v>30</v>
      </c>
      <c r="H713" t="s">
        <v>1134</v>
      </c>
    </row>
    <row r="714" spans="1:8" x14ac:dyDescent="0.25">
      <c r="A714">
        <v>880</v>
      </c>
      <c r="B714">
        <v>1191</v>
      </c>
      <c r="C714" t="s">
        <v>22</v>
      </c>
      <c r="D714" t="s">
        <v>23</v>
      </c>
      <c r="E714" t="s">
        <v>725</v>
      </c>
      <c r="F714">
        <v>600038</v>
      </c>
      <c r="G714" t="s">
        <v>30</v>
      </c>
      <c r="H714" t="s">
        <v>1322</v>
      </c>
    </row>
    <row r="715" spans="1:8" x14ac:dyDescent="0.25">
      <c r="A715">
        <v>1004</v>
      </c>
      <c r="B715">
        <v>1131</v>
      </c>
      <c r="C715" t="s">
        <v>22</v>
      </c>
      <c r="D715" t="s">
        <v>38</v>
      </c>
      <c r="E715" t="s">
        <v>40</v>
      </c>
      <c r="F715">
        <v>134102</v>
      </c>
      <c r="G715" t="s">
        <v>39</v>
      </c>
      <c r="H715" t="s">
        <v>1354</v>
      </c>
    </row>
    <row r="716" spans="1:8" x14ac:dyDescent="0.25">
      <c r="A716">
        <v>880</v>
      </c>
      <c r="B716">
        <v>1184</v>
      </c>
      <c r="C716" t="s">
        <v>22</v>
      </c>
      <c r="D716" t="s">
        <v>23</v>
      </c>
      <c r="E716" t="s">
        <v>725</v>
      </c>
      <c r="F716">
        <v>600038</v>
      </c>
      <c r="G716" t="s">
        <v>30</v>
      </c>
      <c r="H716" t="s">
        <v>1347</v>
      </c>
    </row>
    <row r="717" spans="1:8" x14ac:dyDescent="0.25">
      <c r="A717">
        <v>297</v>
      </c>
      <c r="B717">
        <v>1127</v>
      </c>
      <c r="C717" t="s">
        <v>22</v>
      </c>
      <c r="D717" t="s">
        <v>254</v>
      </c>
      <c r="E717" t="s">
        <v>269</v>
      </c>
      <c r="F717">
        <v>132054</v>
      </c>
      <c r="G717" t="s">
        <v>27</v>
      </c>
      <c r="H717" t="s">
        <v>944</v>
      </c>
    </row>
    <row r="718" spans="1:8" x14ac:dyDescent="0.25">
      <c r="A718">
        <v>94</v>
      </c>
      <c r="B718">
        <v>1144</v>
      </c>
      <c r="C718" t="s">
        <v>22</v>
      </c>
      <c r="D718" t="s">
        <v>29</v>
      </c>
      <c r="E718" t="s">
        <v>779</v>
      </c>
      <c r="F718">
        <v>122503</v>
      </c>
      <c r="G718" t="s">
        <v>77</v>
      </c>
      <c r="H718" t="s">
        <v>1125</v>
      </c>
    </row>
    <row r="719" spans="1:8" x14ac:dyDescent="0.25">
      <c r="A719">
        <v>94</v>
      </c>
      <c r="B719">
        <v>1140</v>
      </c>
      <c r="C719" t="s">
        <v>22</v>
      </c>
      <c r="D719" t="s">
        <v>29</v>
      </c>
      <c r="E719" t="s">
        <v>779</v>
      </c>
      <c r="F719">
        <v>122503</v>
      </c>
      <c r="G719" t="s">
        <v>77</v>
      </c>
      <c r="H719" t="s">
        <v>1167</v>
      </c>
    </row>
    <row r="720" spans="1:8" x14ac:dyDescent="0.25">
      <c r="A720">
        <v>94</v>
      </c>
      <c r="B720">
        <v>1145</v>
      </c>
      <c r="C720" t="s">
        <v>22</v>
      </c>
      <c r="D720" t="s">
        <v>29</v>
      </c>
      <c r="E720" t="s">
        <v>779</v>
      </c>
      <c r="F720">
        <v>122503</v>
      </c>
      <c r="G720" t="s">
        <v>77</v>
      </c>
      <c r="H720" t="s">
        <v>1355</v>
      </c>
    </row>
    <row r="721" spans="1:8" x14ac:dyDescent="0.25">
      <c r="A721">
        <v>993</v>
      </c>
      <c r="B721">
        <v>1097</v>
      </c>
      <c r="C721" t="s">
        <v>22</v>
      </c>
      <c r="D721" t="s">
        <v>42</v>
      </c>
      <c r="E721" t="s">
        <v>827</v>
      </c>
      <c r="F721">
        <v>125006</v>
      </c>
      <c r="G721" t="s">
        <v>30</v>
      </c>
      <c r="H721" t="s">
        <v>1356</v>
      </c>
    </row>
    <row r="722" spans="1:8" x14ac:dyDescent="0.25">
      <c r="A722">
        <v>39</v>
      </c>
      <c r="B722">
        <v>1098</v>
      </c>
      <c r="C722" t="s">
        <v>22</v>
      </c>
      <c r="D722" t="s">
        <v>328</v>
      </c>
      <c r="E722" t="s">
        <v>329</v>
      </c>
      <c r="G722" t="s">
        <v>30</v>
      </c>
      <c r="H722" t="s">
        <v>1207</v>
      </c>
    </row>
    <row r="723" spans="1:8" x14ac:dyDescent="0.25">
      <c r="A723">
        <v>153</v>
      </c>
      <c r="B723">
        <v>814</v>
      </c>
      <c r="C723" t="s">
        <v>22</v>
      </c>
      <c r="D723" t="s">
        <v>42</v>
      </c>
      <c r="E723" t="s">
        <v>130</v>
      </c>
      <c r="F723">
        <v>125001</v>
      </c>
      <c r="G723" t="s">
        <v>125</v>
      </c>
      <c r="H723" t="s">
        <v>1357</v>
      </c>
    </row>
    <row r="724" spans="1:8" x14ac:dyDescent="0.25">
      <c r="A724">
        <v>880</v>
      </c>
      <c r="B724">
        <v>1178</v>
      </c>
      <c r="C724" t="s">
        <v>22</v>
      </c>
      <c r="D724" t="s">
        <v>23</v>
      </c>
      <c r="E724" t="s">
        <v>725</v>
      </c>
      <c r="F724">
        <v>600038</v>
      </c>
      <c r="G724" t="s">
        <v>30</v>
      </c>
      <c r="H724" t="s">
        <v>1134</v>
      </c>
    </row>
    <row r="725" spans="1:8" x14ac:dyDescent="0.25">
      <c r="A725">
        <v>991</v>
      </c>
      <c r="B725">
        <v>1174</v>
      </c>
      <c r="C725" t="s">
        <v>22</v>
      </c>
      <c r="D725" t="s">
        <v>42</v>
      </c>
      <c r="E725" t="s">
        <v>825</v>
      </c>
      <c r="F725">
        <v>125001</v>
      </c>
      <c r="G725" t="s">
        <v>30</v>
      </c>
      <c r="H725" t="s">
        <v>1358</v>
      </c>
    </row>
    <row r="726" spans="1:8" x14ac:dyDescent="0.25">
      <c r="A726">
        <v>880</v>
      </c>
      <c r="B726">
        <v>1183</v>
      </c>
      <c r="C726" t="s">
        <v>22</v>
      </c>
      <c r="D726" t="s">
        <v>23</v>
      </c>
      <c r="E726" t="s">
        <v>725</v>
      </c>
      <c r="F726">
        <v>600038</v>
      </c>
      <c r="G726" t="s">
        <v>30</v>
      </c>
      <c r="H726" t="s">
        <v>1347</v>
      </c>
    </row>
    <row r="727" spans="1:8" x14ac:dyDescent="0.25">
      <c r="A727">
        <v>880</v>
      </c>
      <c r="B727">
        <v>1186</v>
      </c>
      <c r="C727" t="s">
        <v>22</v>
      </c>
      <c r="D727" t="s">
        <v>23</v>
      </c>
      <c r="E727" t="s">
        <v>725</v>
      </c>
      <c r="F727">
        <v>600038</v>
      </c>
      <c r="G727" t="s">
        <v>30</v>
      </c>
      <c r="H727" t="s">
        <v>1241</v>
      </c>
    </row>
    <row r="728" spans="1:8" x14ac:dyDescent="0.25">
      <c r="A728">
        <v>997</v>
      </c>
      <c r="B728">
        <v>1105</v>
      </c>
      <c r="C728" t="s">
        <v>22</v>
      </c>
      <c r="D728" t="s">
        <v>42</v>
      </c>
      <c r="E728" t="s">
        <v>830</v>
      </c>
      <c r="F728">
        <v>125007</v>
      </c>
      <c r="G728" t="s">
        <v>30</v>
      </c>
      <c r="H728" t="s">
        <v>1359</v>
      </c>
    </row>
    <row r="729" spans="1:8" x14ac:dyDescent="0.25">
      <c r="A729">
        <v>880</v>
      </c>
      <c r="B729">
        <v>1185</v>
      </c>
      <c r="C729" t="s">
        <v>22</v>
      </c>
      <c r="D729" t="s">
        <v>23</v>
      </c>
      <c r="E729" t="s">
        <v>725</v>
      </c>
      <c r="F729">
        <v>600038</v>
      </c>
      <c r="G729" t="s">
        <v>30</v>
      </c>
      <c r="H729" t="s">
        <v>1241</v>
      </c>
    </row>
    <row r="730" spans="1:8" x14ac:dyDescent="0.25">
      <c r="A730">
        <v>67</v>
      </c>
      <c r="B730">
        <v>1135</v>
      </c>
      <c r="C730" t="s">
        <v>22</v>
      </c>
      <c r="D730" t="s">
        <v>29</v>
      </c>
      <c r="E730" t="s">
        <v>556</v>
      </c>
      <c r="G730" t="s">
        <v>27</v>
      </c>
      <c r="H730" t="s">
        <v>1157</v>
      </c>
    </row>
    <row r="731" spans="1:8" x14ac:dyDescent="0.25">
      <c r="A731">
        <v>96</v>
      </c>
      <c r="B731">
        <v>1130</v>
      </c>
      <c r="C731" t="s">
        <v>22</v>
      </c>
      <c r="D731" t="s">
        <v>29</v>
      </c>
      <c r="E731" t="s">
        <v>800</v>
      </c>
      <c r="G731" t="s">
        <v>77</v>
      </c>
      <c r="H731" t="s">
        <v>1360</v>
      </c>
    </row>
    <row r="732" spans="1:8" x14ac:dyDescent="0.25">
      <c r="A732">
        <v>283</v>
      </c>
      <c r="B732">
        <v>284</v>
      </c>
      <c r="C732" t="s">
        <v>22</v>
      </c>
      <c r="D732" t="s">
        <v>254</v>
      </c>
      <c r="E732" t="s">
        <v>259</v>
      </c>
      <c r="F732">
        <v>132036</v>
      </c>
      <c r="G732" t="s">
        <v>24</v>
      </c>
      <c r="H732" t="s">
        <v>858</v>
      </c>
    </row>
    <row r="733" spans="1:8" x14ac:dyDescent="0.25">
      <c r="A733">
        <v>69</v>
      </c>
      <c r="B733">
        <v>1121</v>
      </c>
      <c r="C733" t="s">
        <v>22</v>
      </c>
      <c r="D733" t="s">
        <v>29</v>
      </c>
      <c r="E733" t="s">
        <v>571</v>
      </c>
      <c r="G733" t="s">
        <v>27</v>
      </c>
      <c r="H733" t="s">
        <v>1361</v>
      </c>
    </row>
    <row r="734" spans="1:8" x14ac:dyDescent="0.25">
      <c r="A734">
        <v>94</v>
      </c>
      <c r="B734">
        <v>1147</v>
      </c>
      <c r="C734" t="s">
        <v>22</v>
      </c>
      <c r="D734" t="s">
        <v>29</v>
      </c>
      <c r="E734" t="s">
        <v>779</v>
      </c>
      <c r="F734">
        <v>122503</v>
      </c>
      <c r="G734" t="s">
        <v>77</v>
      </c>
      <c r="H734" t="s">
        <v>1362</v>
      </c>
    </row>
    <row r="735" spans="1:8" x14ac:dyDescent="0.25">
      <c r="A735">
        <v>47</v>
      </c>
      <c r="B735">
        <v>803</v>
      </c>
      <c r="C735" t="s">
        <v>22</v>
      </c>
      <c r="D735" t="s">
        <v>328</v>
      </c>
      <c r="E735" t="s">
        <v>382</v>
      </c>
      <c r="G735" t="s">
        <v>30</v>
      </c>
      <c r="H735" t="s">
        <v>874</v>
      </c>
    </row>
    <row r="736" spans="1:8" x14ac:dyDescent="0.25">
      <c r="A736">
        <v>44</v>
      </c>
      <c r="B736">
        <v>842</v>
      </c>
      <c r="C736" t="s">
        <v>22</v>
      </c>
      <c r="D736" t="s">
        <v>328</v>
      </c>
      <c r="E736" t="s">
        <v>362</v>
      </c>
      <c r="G736" t="s">
        <v>30</v>
      </c>
      <c r="H736" t="s">
        <v>1363</v>
      </c>
    </row>
    <row r="737" spans="1:8" x14ac:dyDescent="0.25">
      <c r="A737">
        <v>880</v>
      </c>
      <c r="B737">
        <v>770</v>
      </c>
      <c r="C737" t="s">
        <v>22</v>
      </c>
      <c r="D737" t="s">
        <v>23</v>
      </c>
      <c r="E737" t="s">
        <v>725</v>
      </c>
      <c r="F737">
        <v>600038</v>
      </c>
      <c r="G737" t="s">
        <v>30</v>
      </c>
      <c r="H737" t="s">
        <v>1047</v>
      </c>
    </row>
    <row r="738" spans="1:8" x14ac:dyDescent="0.25">
      <c r="A738">
        <v>151</v>
      </c>
      <c r="B738">
        <v>1151</v>
      </c>
      <c r="C738" t="s">
        <v>22</v>
      </c>
      <c r="D738" t="s">
        <v>42</v>
      </c>
      <c r="E738" t="s">
        <v>129</v>
      </c>
      <c r="F738">
        <v>125001</v>
      </c>
      <c r="G738" t="s">
        <v>125</v>
      </c>
      <c r="H738" t="s">
        <v>1070</v>
      </c>
    </row>
    <row r="739" spans="1:8" x14ac:dyDescent="0.25">
      <c r="A739">
        <v>72</v>
      </c>
      <c r="B739">
        <v>1150</v>
      </c>
      <c r="C739" t="s">
        <v>22</v>
      </c>
      <c r="D739" t="s">
        <v>29</v>
      </c>
      <c r="E739" t="s">
        <v>600</v>
      </c>
      <c r="G739" t="s">
        <v>27</v>
      </c>
      <c r="H739" t="s">
        <v>1364</v>
      </c>
    </row>
    <row r="740" spans="1:8" x14ac:dyDescent="0.25">
      <c r="A740">
        <v>141</v>
      </c>
      <c r="B740">
        <v>1152</v>
      </c>
      <c r="C740" t="s">
        <v>22</v>
      </c>
      <c r="D740" t="s">
        <v>42</v>
      </c>
      <c r="E740" t="s">
        <v>126</v>
      </c>
      <c r="F740">
        <v>125005</v>
      </c>
      <c r="G740" t="s">
        <v>125</v>
      </c>
      <c r="H740" t="s">
        <v>1025</v>
      </c>
    </row>
    <row r="741" spans="1:8" x14ac:dyDescent="0.25">
      <c r="A741">
        <v>137</v>
      </c>
      <c r="B741">
        <v>1058</v>
      </c>
      <c r="C741" t="s">
        <v>22</v>
      </c>
      <c r="D741" t="s">
        <v>42</v>
      </c>
      <c r="E741" t="s">
        <v>120</v>
      </c>
      <c r="F741">
        <v>125042</v>
      </c>
      <c r="G741" t="s">
        <v>27</v>
      </c>
      <c r="H741" t="s">
        <v>1336</v>
      </c>
    </row>
    <row r="742" spans="1:8" x14ac:dyDescent="0.25">
      <c r="A742">
        <v>161</v>
      </c>
      <c r="B742">
        <v>1146</v>
      </c>
      <c r="C742" t="s">
        <v>22</v>
      </c>
      <c r="D742" t="s">
        <v>42</v>
      </c>
      <c r="E742" t="s">
        <v>133</v>
      </c>
      <c r="F742">
        <v>125001</v>
      </c>
      <c r="G742" t="s">
        <v>125</v>
      </c>
      <c r="H742" t="s">
        <v>1365</v>
      </c>
    </row>
    <row r="743" spans="1:8" x14ac:dyDescent="0.25">
      <c r="A743">
        <v>880</v>
      </c>
      <c r="B743">
        <v>1173</v>
      </c>
      <c r="C743" t="s">
        <v>22</v>
      </c>
      <c r="D743" t="s">
        <v>23</v>
      </c>
      <c r="E743" t="s">
        <v>725</v>
      </c>
      <c r="F743">
        <v>600038</v>
      </c>
      <c r="G743" t="s">
        <v>30</v>
      </c>
      <c r="H743" t="s">
        <v>1287</v>
      </c>
    </row>
    <row r="744" spans="1:8" x14ac:dyDescent="0.25">
      <c r="A744">
        <v>65</v>
      </c>
      <c r="B744">
        <v>1149</v>
      </c>
      <c r="C744" t="s">
        <v>22</v>
      </c>
      <c r="D744" t="s">
        <v>29</v>
      </c>
      <c r="E744" t="s">
        <v>541</v>
      </c>
      <c r="G744" t="s">
        <v>27</v>
      </c>
      <c r="H744" t="s">
        <v>1366</v>
      </c>
    </row>
    <row r="745" spans="1:8" x14ac:dyDescent="0.25">
      <c r="A745">
        <v>446</v>
      </c>
      <c r="B745">
        <v>1125</v>
      </c>
      <c r="C745" t="s">
        <v>22</v>
      </c>
      <c r="D745" t="s">
        <v>38</v>
      </c>
      <c r="E745" t="s">
        <v>160</v>
      </c>
      <c r="F745">
        <v>134118</v>
      </c>
      <c r="G745" t="s">
        <v>27</v>
      </c>
      <c r="H745" t="s">
        <v>1367</v>
      </c>
    </row>
    <row r="746" spans="1:8" x14ac:dyDescent="0.25">
      <c r="A746">
        <v>880</v>
      </c>
      <c r="B746">
        <v>792</v>
      </c>
      <c r="C746" t="s">
        <v>22</v>
      </c>
      <c r="D746" t="s">
        <v>23</v>
      </c>
      <c r="E746" t="s">
        <v>725</v>
      </c>
      <c r="F746">
        <v>600038</v>
      </c>
      <c r="G746" t="s">
        <v>30</v>
      </c>
      <c r="H746" t="s">
        <v>1368</v>
      </c>
    </row>
    <row r="747" spans="1:8" x14ac:dyDescent="0.25">
      <c r="A747">
        <v>880</v>
      </c>
      <c r="B747">
        <v>1168</v>
      </c>
      <c r="C747" t="s">
        <v>22</v>
      </c>
      <c r="D747" t="s">
        <v>23</v>
      </c>
      <c r="E747" t="s">
        <v>725</v>
      </c>
      <c r="F747">
        <v>600038</v>
      </c>
      <c r="G747" t="s">
        <v>30</v>
      </c>
      <c r="H747" t="s">
        <v>1287</v>
      </c>
    </row>
    <row r="748" spans="1:8" x14ac:dyDescent="0.25">
      <c r="A748">
        <v>880</v>
      </c>
      <c r="B748">
        <v>1187</v>
      </c>
      <c r="C748" t="s">
        <v>22</v>
      </c>
      <c r="D748" t="s">
        <v>23</v>
      </c>
      <c r="E748" t="s">
        <v>725</v>
      </c>
      <c r="F748">
        <v>600038</v>
      </c>
      <c r="G748" t="s">
        <v>30</v>
      </c>
      <c r="H748" t="s">
        <v>1241</v>
      </c>
    </row>
    <row r="749" spans="1:8" x14ac:dyDescent="0.25">
      <c r="A749">
        <v>992</v>
      </c>
      <c r="B749">
        <v>1053</v>
      </c>
      <c r="C749" t="s">
        <v>22</v>
      </c>
      <c r="D749" t="s">
        <v>42</v>
      </c>
      <c r="E749" t="s">
        <v>826</v>
      </c>
      <c r="F749">
        <v>125005</v>
      </c>
      <c r="G749" t="s">
        <v>30</v>
      </c>
      <c r="H749" t="s">
        <v>1369</v>
      </c>
    </row>
    <row r="750" spans="1:8" x14ac:dyDescent="0.25">
      <c r="A750">
        <v>1212</v>
      </c>
      <c r="B750">
        <v>1274</v>
      </c>
      <c r="C750" t="s">
        <v>22</v>
      </c>
      <c r="D750" t="s">
        <v>64</v>
      </c>
      <c r="E750" t="s">
        <v>92</v>
      </c>
      <c r="F750">
        <v>121102</v>
      </c>
      <c r="G750" t="s">
        <v>27</v>
      </c>
      <c r="H750" t="s">
        <v>1370</v>
      </c>
    </row>
    <row r="751" spans="1:8" x14ac:dyDescent="0.25">
      <c r="A751">
        <v>136</v>
      </c>
      <c r="B751">
        <v>1062</v>
      </c>
      <c r="C751" t="s">
        <v>22</v>
      </c>
      <c r="D751" t="s">
        <v>42</v>
      </c>
      <c r="E751" t="s">
        <v>119</v>
      </c>
      <c r="F751">
        <v>125042</v>
      </c>
      <c r="G751" t="s">
        <v>27</v>
      </c>
      <c r="H751" t="s">
        <v>918</v>
      </c>
    </row>
    <row r="752" spans="1:8" x14ac:dyDescent="0.25">
      <c r="A752">
        <v>458</v>
      </c>
      <c r="B752">
        <v>1172</v>
      </c>
      <c r="C752" t="s">
        <v>22</v>
      </c>
      <c r="D752" t="s">
        <v>367</v>
      </c>
      <c r="E752" t="s">
        <v>370</v>
      </c>
      <c r="F752">
        <v>132107</v>
      </c>
      <c r="G752" t="s">
        <v>24</v>
      </c>
      <c r="H752" t="s">
        <v>944</v>
      </c>
    </row>
    <row r="753" spans="1:8" x14ac:dyDescent="0.25">
      <c r="A753">
        <v>45</v>
      </c>
      <c r="B753">
        <v>297</v>
      </c>
      <c r="C753" t="s">
        <v>22</v>
      </c>
      <c r="D753" t="s">
        <v>328</v>
      </c>
      <c r="E753" t="s">
        <v>366</v>
      </c>
      <c r="G753" t="s">
        <v>30</v>
      </c>
      <c r="H753" t="s">
        <v>864</v>
      </c>
    </row>
    <row r="754" spans="1:8" x14ac:dyDescent="0.25">
      <c r="A754">
        <v>880</v>
      </c>
      <c r="B754">
        <v>1171</v>
      </c>
      <c r="C754" t="s">
        <v>22</v>
      </c>
      <c r="D754" t="s">
        <v>23</v>
      </c>
      <c r="E754" t="s">
        <v>725</v>
      </c>
      <c r="F754">
        <v>600038</v>
      </c>
      <c r="G754" t="s">
        <v>30</v>
      </c>
      <c r="H754" t="s">
        <v>1287</v>
      </c>
    </row>
    <row r="755" spans="1:8" x14ac:dyDescent="0.25">
      <c r="A755">
        <v>880</v>
      </c>
      <c r="B755">
        <v>1177</v>
      </c>
      <c r="C755" t="s">
        <v>22</v>
      </c>
      <c r="D755" t="s">
        <v>23</v>
      </c>
      <c r="E755" t="s">
        <v>725</v>
      </c>
      <c r="F755">
        <v>600038</v>
      </c>
      <c r="G755" t="s">
        <v>30</v>
      </c>
      <c r="H755" t="s">
        <v>1134</v>
      </c>
    </row>
    <row r="756" spans="1:8" x14ac:dyDescent="0.25">
      <c r="A756">
        <v>880</v>
      </c>
      <c r="B756">
        <v>1193</v>
      </c>
      <c r="C756" t="s">
        <v>22</v>
      </c>
      <c r="D756" t="s">
        <v>23</v>
      </c>
      <c r="E756" t="s">
        <v>725</v>
      </c>
      <c r="F756">
        <v>600038</v>
      </c>
      <c r="G756" t="s">
        <v>30</v>
      </c>
      <c r="H756" t="s">
        <v>1109</v>
      </c>
    </row>
    <row r="757" spans="1:8" x14ac:dyDescent="0.25">
      <c r="A757">
        <v>880</v>
      </c>
      <c r="B757">
        <v>1195</v>
      </c>
      <c r="C757" t="s">
        <v>22</v>
      </c>
      <c r="D757" t="s">
        <v>23</v>
      </c>
      <c r="E757" t="s">
        <v>725</v>
      </c>
      <c r="F757">
        <v>600038</v>
      </c>
      <c r="G757" t="s">
        <v>30</v>
      </c>
      <c r="H757" t="s">
        <v>1109</v>
      </c>
    </row>
    <row r="758" spans="1:8" x14ac:dyDescent="0.25">
      <c r="A758">
        <v>880</v>
      </c>
      <c r="B758">
        <v>1196</v>
      </c>
      <c r="C758" t="s">
        <v>22</v>
      </c>
      <c r="D758" t="s">
        <v>23</v>
      </c>
      <c r="E758" t="s">
        <v>725</v>
      </c>
      <c r="F758">
        <v>600038</v>
      </c>
      <c r="G758" t="s">
        <v>30</v>
      </c>
      <c r="H758" t="s">
        <v>1371</v>
      </c>
    </row>
    <row r="759" spans="1:8" x14ac:dyDescent="0.25">
      <c r="A759">
        <v>880</v>
      </c>
      <c r="B759">
        <v>1197</v>
      </c>
      <c r="C759" t="s">
        <v>22</v>
      </c>
      <c r="D759" t="s">
        <v>23</v>
      </c>
      <c r="E759" t="s">
        <v>725</v>
      </c>
      <c r="F759">
        <v>600038</v>
      </c>
      <c r="G759" t="s">
        <v>30</v>
      </c>
      <c r="H759" t="s">
        <v>1372</v>
      </c>
    </row>
    <row r="760" spans="1:8" x14ac:dyDescent="0.25">
      <c r="A760">
        <v>1208</v>
      </c>
      <c r="B760">
        <v>1286</v>
      </c>
      <c r="C760" t="s">
        <v>22</v>
      </c>
      <c r="D760" t="s">
        <v>64</v>
      </c>
      <c r="E760" t="s">
        <v>87</v>
      </c>
      <c r="F760">
        <v>121103</v>
      </c>
      <c r="G760" t="s">
        <v>24</v>
      </c>
      <c r="H760" t="s">
        <v>1373</v>
      </c>
    </row>
    <row r="761" spans="1:8" x14ac:dyDescent="0.25">
      <c r="A761">
        <v>880</v>
      </c>
      <c r="B761">
        <v>1198</v>
      </c>
      <c r="C761" t="s">
        <v>22</v>
      </c>
      <c r="D761" t="s">
        <v>23</v>
      </c>
      <c r="E761" t="s">
        <v>725</v>
      </c>
      <c r="F761">
        <v>600038</v>
      </c>
      <c r="G761" t="s">
        <v>30</v>
      </c>
      <c r="H761" t="s">
        <v>1374</v>
      </c>
    </row>
    <row r="762" spans="1:8" x14ac:dyDescent="0.25">
      <c r="A762">
        <v>1214</v>
      </c>
      <c r="B762">
        <v>1293</v>
      </c>
      <c r="C762" t="s">
        <v>22</v>
      </c>
      <c r="D762" t="s">
        <v>64</v>
      </c>
      <c r="E762" t="s">
        <v>94</v>
      </c>
      <c r="F762">
        <v>121102</v>
      </c>
      <c r="G762" t="s">
        <v>27</v>
      </c>
      <c r="H762" t="s">
        <v>1375</v>
      </c>
    </row>
    <row r="763" spans="1:8" x14ac:dyDescent="0.25">
      <c r="A763">
        <v>228</v>
      </c>
      <c r="B763">
        <v>613</v>
      </c>
      <c r="C763" t="s">
        <v>22</v>
      </c>
      <c r="D763" t="s">
        <v>195</v>
      </c>
      <c r="E763" t="s">
        <v>200</v>
      </c>
      <c r="F763">
        <v>126113</v>
      </c>
      <c r="G763" t="s">
        <v>24</v>
      </c>
      <c r="H763" t="s">
        <v>1376</v>
      </c>
    </row>
    <row r="764" spans="1:8" x14ac:dyDescent="0.25">
      <c r="A764">
        <v>1214</v>
      </c>
      <c r="B764">
        <v>1251</v>
      </c>
      <c r="C764" t="s">
        <v>22</v>
      </c>
      <c r="D764" t="s">
        <v>64</v>
      </c>
      <c r="E764" t="s">
        <v>94</v>
      </c>
      <c r="F764">
        <v>121102</v>
      </c>
      <c r="G764" t="s">
        <v>27</v>
      </c>
      <c r="H764" t="s">
        <v>1370</v>
      </c>
    </row>
    <row r="765" spans="1:8" x14ac:dyDescent="0.25">
      <c r="A765">
        <v>880</v>
      </c>
      <c r="B765">
        <v>1366</v>
      </c>
      <c r="C765" t="s">
        <v>22</v>
      </c>
      <c r="D765" t="s">
        <v>23</v>
      </c>
      <c r="E765" t="s">
        <v>725</v>
      </c>
      <c r="F765">
        <v>600038</v>
      </c>
      <c r="G765" t="s">
        <v>30</v>
      </c>
      <c r="H765" t="s">
        <v>1377</v>
      </c>
    </row>
    <row r="766" spans="1:8" x14ac:dyDescent="0.25">
      <c r="A766">
        <v>880</v>
      </c>
      <c r="B766">
        <v>1272</v>
      </c>
      <c r="C766" t="s">
        <v>22</v>
      </c>
      <c r="D766" t="s">
        <v>23</v>
      </c>
      <c r="E766" t="s">
        <v>725</v>
      </c>
      <c r="F766">
        <v>600038</v>
      </c>
      <c r="G766" t="s">
        <v>30</v>
      </c>
      <c r="H766" t="s">
        <v>1378</v>
      </c>
    </row>
    <row r="767" spans="1:8" x14ac:dyDescent="0.25">
      <c r="A767">
        <v>1222</v>
      </c>
      <c r="B767">
        <v>1273</v>
      </c>
      <c r="C767" t="s">
        <v>22</v>
      </c>
      <c r="D767" t="s">
        <v>64</v>
      </c>
      <c r="E767" t="s">
        <v>103</v>
      </c>
      <c r="F767">
        <v>121103</v>
      </c>
      <c r="G767" t="s">
        <v>27</v>
      </c>
      <c r="H767" t="s">
        <v>1379</v>
      </c>
    </row>
    <row r="768" spans="1:8" x14ac:dyDescent="0.25">
      <c r="A768">
        <v>1220</v>
      </c>
      <c r="B768">
        <v>1275</v>
      </c>
      <c r="C768" t="s">
        <v>22</v>
      </c>
      <c r="D768" t="s">
        <v>64</v>
      </c>
      <c r="E768" t="s">
        <v>101</v>
      </c>
      <c r="F768">
        <v>121102</v>
      </c>
      <c r="G768" t="s">
        <v>27</v>
      </c>
      <c r="H768" t="s">
        <v>1380</v>
      </c>
    </row>
    <row r="769" spans="1:8" x14ac:dyDescent="0.25">
      <c r="A769">
        <v>239</v>
      </c>
      <c r="B769">
        <v>1393</v>
      </c>
      <c r="C769" t="s">
        <v>22</v>
      </c>
      <c r="D769" t="s">
        <v>195</v>
      </c>
      <c r="E769" t="s">
        <v>211</v>
      </c>
      <c r="F769">
        <v>126114</v>
      </c>
      <c r="G769" t="s">
        <v>27</v>
      </c>
      <c r="H769" t="s">
        <v>1381</v>
      </c>
    </row>
    <row r="770" spans="1:8" x14ac:dyDescent="0.25">
      <c r="A770">
        <v>1210</v>
      </c>
      <c r="B770">
        <v>1283</v>
      </c>
      <c r="C770" t="s">
        <v>22</v>
      </c>
      <c r="D770" t="s">
        <v>64</v>
      </c>
      <c r="E770" t="s">
        <v>90</v>
      </c>
      <c r="F770">
        <v>121107</v>
      </c>
      <c r="G770" t="s">
        <v>27</v>
      </c>
      <c r="H770" t="s">
        <v>1382</v>
      </c>
    </row>
    <row r="771" spans="1:8" x14ac:dyDescent="0.25">
      <c r="A771">
        <v>1221</v>
      </c>
      <c r="B771">
        <v>1264</v>
      </c>
      <c r="C771" t="s">
        <v>22</v>
      </c>
      <c r="D771" t="s">
        <v>64</v>
      </c>
      <c r="E771" t="s">
        <v>102</v>
      </c>
      <c r="F771">
        <v>121103</v>
      </c>
      <c r="G771" t="s">
        <v>27</v>
      </c>
      <c r="H771" t="s">
        <v>1383</v>
      </c>
    </row>
    <row r="772" spans="1:8" x14ac:dyDescent="0.25">
      <c r="A772">
        <v>880</v>
      </c>
      <c r="B772">
        <v>1279</v>
      </c>
      <c r="C772" t="s">
        <v>22</v>
      </c>
      <c r="D772" t="s">
        <v>23</v>
      </c>
      <c r="E772" t="s">
        <v>725</v>
      </c>
      <c r="F772">
        <v>600038</v>
      </c>
      <c r="G772" t="s">
        <v>30</v>
      </c>
      <c r="H772" t="s">
        <v>1384</v>
      </c>
    </row>
    <row r="773" spans="1:8" x14ac:dyDescent="0.25">
      <c r="A773">
        <v>1216</v>
      </c>
      <c r="B773">
        <v>1270</v>
      </c>
      <c r="C773" t="s">
        <v>22</v>
      </c>
      <c r="D773" t="s">
        <v>64</v>
      </c>
      <c r="E773" t="s">
        <v>96</v>
      </c>
      <c r="F773">
        <v>121105</v>
      </c>
      <c r="G773" t="s">
        <v>27</v>
      </c>
      <c r="H773" t="s">
        <v>1385</v>
      </c>
    </row>
    <row r="774" spans="1:8" x14ac:dyDescent="0.25">
      <c r="A774">
        <v>1192</v>
      </c>
      <c r="B774">
        <v>1248</v>
      </c>
      <c r="C774" t="s">
        <v>22</v>
      </c>
      <c r="D774" t="s">
        <v>64</v>
      </c>
      <c r="E774" t="s">
        <v>1386</v>
      </c>
      <c r="F774">
        <v>121106</v>
      </c>
      <c r="G774" t="s">
        <v>77</v>
      </c>
      <c r="H774" t="s">
        <v>1387</v>
      </c>
    </row>
    <row r="775" spans="1:8" x14ac:dyDescent="0.25">
      <c r="A775">
        <v>252</v>
      </c>
      <c r="B775">
        <v>1394</v>
      </c>
      <c r="C775" t="s">
        <v>22</v>
      </c>
      <c r="D775" t="s">
        <v>195</v>
      </c>
      <c r="E775" t="s">
        <v>225</v>
      </c>
      <c r="F775">
        <v>126112</v>
      </c>
      <c r="G775" t="s">
        <v>27</v>
      </c>
      <c r="H775" t="s">
        <v>1388</v>
      </c>
    </row>
    <row r="776" spans="1:8" x14ac:dyDescent="0.25">
      <c r="A776">
        <v>1205</v>
      </c>
      <c r="B776">
        <v>1271</v>
      </c>
      <c r="C776" t="s">
        <v>22</v>
      </c>
      <c r="D776" t="s">
        <v>64</v>
      </c>
      <c r="E776" t="s">
        <v>86</v>
      </c>
      <c r="F776">
        <v>121103</v>
      </c>
      <c r="G776" t="s">
        <v>27</v>
      </c>
      <c r="H776" t="s">
        <v>1389</v>
      </c>
    </row>
    <row r="777" spans="1:8" x14ac:dyDescent="0.25">
      <c r="A777">
        <v>243</v>
      </c>
      <c r="B777">
        <v>1357</v>
      </c>
      <c r="C777" t="s">
        <v>22</v>
      </c>
      <c r="D777" t="s">
        <v>195</v>
      </c>
      <c r="E777" t="s">
        <v>215</v>
      </c>
      <c r="F777">
        <v>126113</v>
      </c>
      <c r="G777" t="s">
        <v>27</v>
      </c>
      <c r="H777" t="s">
        <v>1390</v>
      </c>
    </row>
    <row r="778" spans="1:8" x14ac:dyDescent="0.25">
      <c r="A778">
        <v>226</v>
      </c>
      <c r="B778">
        <v>1346</v>
      </c>
      <c r="C778" t="s">
        <v>22</v>
      </c>
      <c r="D778" t="s">
        <v>195</v>
      </c>
      <c r="E778" t="s">
        <v>199</v>
      </c>
      <c r="F778">
        <v>126112</v>
      </c>
      <c r="G778" t="s">
        <v>24</v>
      </c>
      <c r="H778" t="s">
        <v>1391</v>
      </c>
    </row>
    <row r="779" spans="1:8" x14ac:dyDescent="0.25">
      <c r="A779">
        <v>258</v>
      </c>
      <c r="B779">
        <v>1370</v>
      </c>
      <c r="C779" t="s">
        <v>22</v>
      </c>
      <c r="D779" t="s">
        <v>195</v>
      </c>
      <c r="E779" t="s">
        <v>231</v>
      </c>
      <c r="F779">
        <v>126116</v>
      </c>
      <c r="G779" t="s">
        <v>30</v>
      </c>
      <c r="H779" t="s">
        <v>1392</v>
      </c>
    </row>
    <row r="780" spans="1:8" x14ac:dyDescent="0.25">
      <c r="A780">
        <v>1204</v>
      </c>
      <c r="B780">
        <v>1259</v>
      </c>
      <c r="C780" t="s">
        <v>22</v>
      </c>
      <c r="D780" t="s">
        <v>64</v>
      </c>
      <c r="E780" t="s">
        <v>85</v>
      </c>
      <c r="F780">
        <v>121102</v>
      </c>
      <c r="G780" t="s">
        <v>27</v>
      </c>
      <c r="H780" t="s">
        <v>1393</v>
      </c>
    </row>
    <row r="781" spans="1:8" x14ac:dyDescent="0.25">
      <c r="A781">
        <v>254</v>
      </c>
      <c r="B781">
        <v>1392</v>
      </c>
      <c r="C781" t="s">
        <v>22</v>
      </c>
      <c r="D781" t="s">
        <v>195</v>
      </c>
      <c r="E781" t="s">
        <v>227</v>
      </c>
      <c r="F781">
        <v>126125</v>
      </c>
      <c r="G781" t="s">
        <v>27</v>
      </c>
      <c r="H781" t="s">
        <v>1394</v>
      </c>
    </row>
    <row r="782" spans="1:8" x14ac:dyDescent="0.25">
      <c r="A782">
        <v>1214</v>
      </c>
      <c r="B782">
        <v>1287</v>
      </c>
      <c r="C782" t="s">
        <v>22</v>
      </c>
      <c r="D782" t="s">
        <v>64</v>
      </c>
      <c r="E782" t="s">
        <v>94</v>
      </c>
      <c r="F782">
        <v>121102</v>
      </c>
      <c r="G782" t="s">
        <v>27</v>
      </c>
      <c r="H782" t="s">
        <v>1370</v>
      </c>
    </row>
    <row r="783" spans="1:8" x14ac:dyDescent="0.25">
      <c r="A783">
        <v>1203</v>
      </c>
      <c r="B783">
        <v>1253</v>
      </c>
      <c r="C783" t="s">
        <v>22</v>
      </c>
      <c r="D783" t="s">
        <v>64</v>
      </c>
      <c r="E783" t="s">
        <v>84</v>
      </c>
      <c r="F783">
        <v>121102</v>
      </c>
      <c r="G783" t="s">
        <v>24</v>
      </c>
      <c r="H783" t="s">
        <v>1395</v>
      </c>
    </row>
    <row r="784" spans="1:8" x14ac:dyDescent="0.25">
      <c r="A784">
        <v>880</v>
      </c>
      <c r="B784">
        <v>1396</v>
      </c>
      <c r="C784" t="s">
        <v>22</v>
      </c>
      <c r="D784" t="s">
        <v>23</v>
      </c>
      <c r="E784" t="s">
        <v>725</v>
      </c>
      <c r="F784">
        <v>600038</v>
      </c>
      <c r="G784" t="s">
        <v>30</v>
      </c>
      <c r="H784" t="s">
        <v>1353</v>
      </c>
    </row>
    <row r="785" spans="1:8" x14ac:dyDescent="0.25">
      <c r="A785">
        <v>260</v>
      </c>
      <c r="B785">
        <v>1329</v>
      </c>
      <c r="C785" t="s">
        <v>22</v>
      </c>
      <c r="D785" t="s">
        <v>195</v>
      </c>
      <c r="E785" t="s">
        <v>233</v>
      </c>
      <c r="F785">
        <v>126116</v>
      </c>
      <c r="G785" t="s">
        <v>30</v>
      </c>
      <c r="H785" t="s">
        <v>1396</v>
      </c>
    </row>
    <row r="786" spans="1:8" x14ac:dyDescent="0.25">
      <c r="A786">
        <v>880</v>
      </c>
      <c r="B786">
        <v>1368</v>
      </c>
      <c r="C786" t="s">
        <v>22</v>
      </c>
      <c r="D786" t="s">
        <v>23</v>
      </c>
      <c r="E786" t="s">
        <v>725</v>
      </c>
      <c r="F786">
        <v>600038</v>
      </c>
      <c r="G786" t="s">
        <v>30</v>
      </c>
      <c r="H786" t="s">
        <v>1397</v>
      </c>
    </row>
    <row r="787" spans="1:8" x14ac:dyDescent="0.25">
      <c r="A787">
        <v>1101</v>
      </c>
      <c r="B787">
        <v>1254</v>
      </c>
      <c r="C787" t="s">
        <v>22</v>
      </c>
      <c r="D787" t="s">
        <v>64</v>
      </c>
      <c r="E787" t="s">
        <v>65</v>
      </c>
      <c r="F787">
        <v>121102</v>
      </c>
      <c r="G787" t="s">
        <v>62</v>
      </c>
      <c r="H787" t="s">
        <v>1398</v>
      </c>
    </row>
    <row r="788" spans="1:8" x14ac:dyDescent="0.25">
      <c r="A788">
        <v>1211</v>
      </c>
      <c r="B788">
        <v>1260</v>
      </c>
      <c r="C788" t="s">
        <v>22</v>
      </c>
      <c r="D788" t="s">
        <v>64</v>
      </c>
      <c r="E788" t="s">
        <v>91</v>
      </c>
      <c r="F788">
        <v>121106</v>
      </c>
      <c r="G788" t="s">
        <v>27</v>
      </c>
      <c r="H788" t="s">
        <v>1399</v>
      </c>
    </row>
    <row r="789" spans="1:8" x14ac:dyDescent="0.25">
      <c r="A789">
        <v>288</v>
      </c>
      <c r="B789">
        <v>1397</v>
      </c>
      <c r="C789" t="s">
        <v>22</v>
      </c>
      <c r="D789" t="s">
        <v>254</v>
      </c>
      <c r="E789" t="s">
        <v>264</v>
      </c>
      <c r="F789">
        <v>132001</v>
      </c>
      <c r="G789" t="s">
        <v>62</v>
      </c>
      <c r="H789" t="s">
        <v>1136</v>
      </c>
    </row>
    <row r="790" spans="1:8" x14ac:dyDescent="0.25">
      <c r="A790">
        <v>1223</v>
      </c>
      <c r="B790">
        <v>1276</v>
      </c>
      <c r="C790" t="s">
        <v>22</v>
      </c>
      <c r="D790" t="s">
        <v>64</v>
      </c>
      <c r="E790" t="s">
        <v>104</v>
      </c>
      <c r="F790">
        <v>121106</v>
      </c>
      <c r="G790" t="s">
        <v>27</v>
      </c>
      <c r="H790" t="s">
        <v>1186</v>
      </c>
    </row>
    <row r="791" spans="1:8" x14ac:dyDescent="0.25">
      <c r="A791">
        <v>264</v>
      </c>
      <c r="B791">
        <v>1345</v>
      </c>
      <c r="C791" t="s">
        <v>22</v>
      </c>
      <c r="D791" t="s">
        <v>195</v>
      </c>
      <c r="E791" t="s">
        <v>237</v>
      </c>
      <c r="F791">
        <v>126116</v>
      </c>
      <c r="G791" t="s">
        <v>30</v>
      </c>
      <c r="H791" t="s">
        <v>1400</v>
      </c>
    </row>
    <row r="792" spans="1:8" x14ac:dyDescent="0.25">
      <c r="A792">
        <v>1199</v>
      </c>
      <c r="B792">
        <v>1255</v>
      </c>
      <c r="C792" t="s">
        <v>22</v>
      </c>
      <c r="D792" t="s">
        <v>64</v>
      </c>
      <c r="E792" t="s">
        <v>79</v>
      </c>
      <c r="F792">
        <v>121103</v>
      </c>
      <c r="G792" t="s">
        <v>24</v>
      </c>
      <c r="H792" t="s">
        <v>1401</v>
      </c>
    </row>
    <row r="793" spans="1:8" x14ac:dyDescent="0.25">
      <c r="A793">
        <v>1209</v>
      </c>
      <c r="B793">
        <v>1285</v>
      </c>
      <c r="C793" t="s">
        <v>22</v>
      </c>
      <c r="D793" t="s">
        <v>64</v>
      </c>
      <c r="E793" t="s">
        <v>88</v>
      </c>
      <c r="F793">
        <v>121004</v>
      </c>
      <c r="G793" t="s">
        <v>27</v>
      </c>
      <c r="H793" t="s">
        <v>1393</v>
      </c>
    </row>
    <row r="794" spans="1:8" x14ac:dyDescent="0.25">
      <c r="A794">
        <v>1213</v>
      </c>
      <c r="B794">
        <v>1277</v>
      </c>
      <c r="C794" t="s">
        <v>22</v>
      </c>
      <c r="D794" t="s">
        <v>64</v>
      </c>
      <c r="E794" t="s">
        <v>93</v>
      </c>
      <c r="F794">
        <v>121004</v>
      </c>
      <c r="G794" t="s">
        <v>27</v>
      </c>
      <c r="H794" t="s">
        <v>1402</v>
      </c>
    </row>
    <row r="795" spans="1:8" x14ac:dyDescent="0.25">
      <c r="A795">
        <v>880</v>
      </c>
      <c r="B795">
        <v>1297</v>
      </c>
      <c r="C795" t="s">
        <v>22</v>
      </c>
      <c r="D795" t="s">
        <v>23</v>
      </c>
      <c r="E795" t="s">
        <v>725</v>
      </c>
      <c r="F795">
        <v>600038</v>
      </c>
      <c r="G795" t="s">
        <v>30</v>
      </c>
      <c r="H795" t="s">
        <v>1384</v>
      </c>
    </row>
    <row r="796" spans="1:8" x14ac:dyDescent="0.25">
      <c r="A796">
        <v>1215</v>
      </c>
      <c r="B796">
        <v>1252</v>
      </c>
      <c r="C796" t="s">
        <v>22</v>
      </c>
      <c r="D796" t="s">
        <v>64</v>
      </c>
      <c r="E796" t="s">
        <v>95</v>
      </c>
      <c r="F796">
        <v>121103</v>
      </c>
      <c r="G796" t="s">
        <v>27</v>
      </c>
      <c r="H796" t="s">
        <v>1403</v>
      </c>
    </row>
    <row r="797" spans="1:8" x14ac:dyDescent="0.25">
      <c r="A797">
        <v>256</v>
      </c>
      <c r="B797">
        <v>1360</v>
      </c>
      <c r="C797" t="s">
        <v>22</v>
      </c>
      <c r="D797" t="s">
        <v>195</v>
      </c>
      <c r="E797" t="s">
        <v>229</v>
      </c>
      <c r="F797">
        <v>126115</v>
      </c>
      <c r="G797" t="s">
        <v>77</v>
      </c>
      <c r="H797" t="s">
        <v>1404</v>
      </c>
    </row>
    <row r="798" spans="1:8" x14ac:dyDescent="0.25">
      <c r="A798">
        <v>880</v>
      </c>
      <c r="B798">
        <v>1369</v>
      </c>
      <c r="C798" t="s">
        <v>22</v>
      </c>
      <c r="D798" t="s">
        <v>23</v>
      </c>
      <c r="E798" t="s">
        <v>725</v>
      </c>
      <c r="F798">
        <v>600038</v>
      </c>
      <c r="G798" t="s">
        <v>30</v>
      </c>
      <c r="H798" t="s">
        <v>1311</v>
      </c>
    </row>
    <row r="799" spans="1:8" x14ac:dyDescent="0.25">
      <c r="A799">
        <v>1200</v>
      </c>
      <c r="B799">
        <v>1280</v>
      </c>
      <c r="C799" t="s">
        <v>22</v>
      </c>
      <c r="D799" t="s">
        <v>64</v>
      </c>
      <c r="E799" t="s">
        <v>82</v>
      </c>
      <c r="F799">
        <v>121102</v>
      </c>
      <c r="G799" t="s">
        <v>24</v>
      </c>
      <c r="H799" t="s">
        <v>1405</v>
      </c>
    </row>
    <row r="800" spans="1:8" x14ac:dyDescent="0.25">
      <c r="A800">
        <v>1202</v>
      </c>
      <c r="B800">
        <v>1282</v>
      </c>
      <c r="C800" t="s">
        <v>22</v>
      </c>
      <c r="D800" t="s">
        <v>64</v>
      </c>
      <c r="E800" t="s">
        <v>83</v>
      </c>
      <c r="F800">
        <v>121106</v>
      </c>
      <c r="G800" t="s">
        <v>24</v>
      </c>
      <c r="H800" t="s">
        <v>1406</v>
      </c>
    </row>
    <row r="801" spans="1:8" x14ac:dyDescent="0.25">
      <c r="A801">
        <v>880</v>
      </c>
      <c r="B801">
        <v>1338</v>
      </c>
      <c r="C801" t="s">
        <v>22</v>
      </c>
      <c r="D801" t="s">
        <v>23</v>
      </c>
      <c r="E801" t="s">
        <v>725</v>
      </c>
      <c r="F801">
        <v>600038</v>
      </c>
      <c r="G801" t="s">
        <v>30</v>
      </c>
      <c r="H801" t="s">
        <v>1407</v>
      </c>
    </row>
    <row r="802" spans="1:8" x14ac:dyDescent="0.25">
      <c r="A802">
        <v>976</v>
      </c>
      <c r="B802">
        <v>1385</v>
      </c>
      <c r="C802" t="s">
        <v>22</v>
      </c>
      <c r="D802" t="s">
        <v>195</v>
      </c>
      <c r="E802" t="s">
        <v>813</v>
      </c>
      <c r="F802">
        <v>126115</v>
      </c>
      <c r="G802" t="s">
        <v>27</v>
      </c>
      <c r="H802" t="s">
        <v>1408</v>
      </c>
    </row>
    <row r="803" spans="1:8" x14ac:dyDescent="0.25">
      <c r="A803">
        <v>246</v>
      </c>
      <c r="B803">
        <v>1355</v>
      </c>
      <c r="C803" t="s">
        <v>22</v>
      </c>
      <c r="D803" t="s">
        <v>195</v>
      </c>
      <c r="E803" t="s">
        <v>218</v>
      </c>
      <c r="F803">
        <v>126116</v>
      </c>
      <c r="G803" t="s">
        <v>27</v>
      </c>
      <c r="H803" t="s">
        <v>1409</v>
      </c>
    </row>
    <row r="804" spans="1:8" x14ac:dyDescent="0.25">
      <c r="A804">
        <v>1219</v>
      </c>
      <c r="B804">
        <v>1268</v>
      </c>
      <c r="C804" t="s">
        <v>22</v>
      </c>
      <c r="D804" t="s">
        <v>64</v>
      </c>
      <c r="E804" t="s">
        <v>99</v>
      </c>
      <c r="F804">
        <v>121104</v>
      </c>
      <c r="G804" t="s">
        <v>27</v>
      </c>
      <c r="H804" t="s">
        <v>1410</v>
      </c>
    </row>
    <row r="805" spans="1:8" x14ac:dyDescent="0.25">
      <c r="A805">
        <v>224</v>
      </c>
      <c r="B805">
        <v>1384</v>
      </c>
      <c r="C805" t="s">
        <v>22</v>
      </c>
      <c r="D805" t="s">
        <v>195</v>
      </c>
      <c r="E805" t="s">
        <v>196</v>
      </c>
      <c r="F805">
        <v>126102</v>
      </c>
      <c r="G805" t="s">
        <v>24</v>
      </c>
      <c r="H805" t="s">
        <v>1411</v>
      </c>
    </row>
    <row r="806" spans="1:8" x14ac:dyDescent="0.25">
      <c r="A806">
        <v>237</v>
      </c>
      <c r="B806">
        <v>1383</v>
      </c>
      <c r="C806" t="s">
        <v>22</v>
      </c>
      <c r="D806" t="s">
        <v>195</v>
      </c>
      <c r="E806" t="s">
        <v>209</v>
      </c>
      <c r="F806">
        <v>126114</v>
      </c>
      <c r="G806" t="s">
        <v>27</v>
      </c>
      <c r="H806" t="s">
        <v>1412</v>
      </c>
    </row>
    <row r="807" spans="1:8" x14ac:dyDescent="0.25">
      <c r="A807">
        <v>880</v>
      </c>
      <c r="B807">
        <v>1301</v>
      </c>
      <c r="C807" t="s">
        <v>22</v>
      </c>
      <c r="D807" t="s">
        <v>23</v>
      </c>
      <c r="E807" t="s">
        <v>725</v>
      </c>
      <c r="F807">
        <v>600038</v>
      </c>
      <c r="G807" t="s">
        <v>30</v>
      </c>
      <c r="H807" t="s">
        <v>1384</v>
      </c>
    </row>
    <row r="808" spans="1:8" x14ac:dyDescent="0.25">
      <c r="A808">
        <v>259</v>
      </c>
      <c r="B808">
        <v>1340</v>
      </c>
      <c r="C808" t="s">
        <v>22</v>
      </c>
      <c r="D808" t="s">
        <v>195</v>
      </c>
      <c r="E808" t="s">
        <v>232</v>
      </c>
      <c r="F808">
        <v>126116</v>
      </c>
      <c r="G808" t="s">
        <v>30</v>
      </c>
      <c r="H808" t="s">
        <v>1413</v>
      </c>
    </row>
    <row r="809" spans="1:8" x14ac:dyDescent="0.25">
      <c r="A809">
        <v>880</v>
      </c>
      <c r="B809">
        <v>1364</v>
      </c>
      <c r="C809" t="s">
        <v>22</v>
      </c>
      <c r="D809" t="s">
        <v>23</v>
      </c>
      <c r="E809" t="s">
        <v>725</v>
      </c>
      <c r="F809">
        <v>600038</v>
      </c>
      <c r="G809" t="s">
        <v>30</v>
      </c>
      <c r="H809" t="s">
        <v>1377</v>
      </c>
    </row>
    <row r="810" spans="1:8" x14ac:dyDescent="0.25">
      <c r="A810">
        <v>233</v>
      </c>
      <c r="B810">
        <v>1362</v>
      </c>
      <c r="C810" t="s">
        <v>22</v>
      </c>
      <c r="D810" t="s">
        <v>195</v>
      </c>
      <c r="E810" t="s">
        <v>205</v>
      </c>
      <c r="F810">
        <v>126115</v>
      </c>
      <c r="G810" t="s">
        <v>27</v>
      </c>
      <c r="H810" t="s">
        <v>1082</v>
      </c>
    </row>
    <row r="811" spans="1:8" x14ac:dyDescent="0.25">
      <c r="A811">
        <v>755</v>
      </c>
      <c r="B811">
        <v>1344</v>
      </c>
      <c r="C811" t="s">
        <v>22</v>
      </c>
      <c r="D811" t="s">
        <v>195</v>
      </c>
      <c r="E811" t="s">
        <v>630</v>
      </c>
      <c r="F811">
        <v>126102</v>
      </c>
      <c r="G811" t="s">
        <v>30</v>
      </c>
      <c r="H811" t="s">
        <v>1400</v>
      </c>
    </row>
    <row r="812" spans="1:8" x14ac:dyDescent="0.25">
      <c r="A812">
        <v>263</v>
      </c>
      <c r="B812">
        <v>1327</v>
      </c>
      <c r="C812" t="s">
        <v>22</v>
      </c>
      <c r="D812" t="s">
        <v>195</v>
      </c>
      <c r="E812" t="s">
        <v>236</v>
      </c>
      <c r="F812">
        <v>126116</v>
      </c>
      <c r="G812" t="s">
        <v>30</v>
      </c>
      <c r="H812" t="s">
        <v>1414</v>
      </c>
    </row>
    <row r="813" spans="1:8" x14ac:dyDescent="0.25">
      <c r="A813">
        <v>248</v>
      </c>
      <c r="B813">
        <v>1352</v>
      </c>
      <c r="C813" t="s">
        <v>22</v>
      </c>
      <c r="D813" t="s">
        <v>195</v>
      </c>
      <c r="E813" t="s">
        <v>220</v>
      </c>
      <c r="F813">
        <v>126116</v>
      </c>
      <c r="G813" t="s">
        <v>27</v>
      </c>
      <c r="H813" t="s">
        <v>1412</v>
      </c>
    </row>
    <row r="814" spans="1:8" x14ac:dyDescent="0.25">
      <c r="A814">
        <v>231</v>
      </c>
      <c r="B814">
        <v>1354</v>
      </c>
      <c r="C814" t="s">
        <v>22</v>
      </c>
      <c r="D814" t="s">
        <v>195</v>
      </c>
      <c r="E814" t="s">
        <v>203</v>
      </c>
      <c r="F814">
        <v>126115</v>
      </c>
      <c r="G814" t="s">
        <v>27</v>
      </c>
      <c r="H814" t="s">
        <v>1415</v>
      </c>
    </row>
    <row r="815" spans="1:8" x14ac:dyDescent="0.25">
      <c r="A815">
        <v>880</v>
      </c>
      <c r="B815">
        <v>1367</v>
      </c>
      <c r="C815" t="s">
        <v>22</v>
      </c>
      <c r="D815" t="s">
        <v>23</v>
      </c>
      <c r="E815" t="s">
        <v>725</v>
      </c>
      <c r="F815">
        <v>600038</v>
      </c>
      <c r="G815" t="s">
        <v>30</v>
      </c>
      <c r="H815" t="s">
        <v>1416</v>
      </c>
    </row>
    <row r="816" spans="1:8" x14ac:dyDescent="0.25">
      <c r="A816">
        <v>241</v>
      </c>
      <c r="B816">
        <v>1371</v>
      </c>
      <c r="C816" t="s">
        <v>22</v>
      </c>
      <c r="D816" t="s">
        <v>195</v>
      </c>
      <c r="E816" t="s">
        <v>213</v>
      </c>
      <c r="F816">
        <v>126101</v>
      </c>
      <c r="G816" t="s">
        <v>27</v>
      </c>
      <c r="H816" t="s">
        <v>1417</v>
      </c>
    </row>
    <row r="817" spans="1:8" x14ac:dyDescent="0.25">
      <c r="A817">
        <v>232</v>
      </c>
      <c r="B817">
        <v>1353</v>
      </c>
      <c r="C817" t="s">
        <v>22</v>
      </c>
      <c r="D817" t="s">
        <v>195</v>
      </c>
      <c r="E817" t="s">
        <v>204</v>
      </c>
      <c r="F817">
        <v>126115</v>
      </c>
      <c r="G817" t="s">
        <v>27</v>
      </c>
      <c r="H817" t="s">
        <v>1418</v>
      </c>
    </row>
    <row r="818" spans="1:8" x14ac:dyDescent="0.25">
      <c r="A818">
        <v>229</v>
      </c>
      <c r="B818">
        <v>1372</v>
      </c>
      <c r="C818" t="s">
        <v>22</v>
      </c>
      <c r="D818" t="s">
        <v>195</v>
      </c>
      <c r="E818" t="s">
        <v>201</v>
      </c>
      <c r="F818">
        <v>126116</v>
      </c>
      <c r="G818" t="s">
        <v>24</v>
      </c>
      <c r="H818" t="s">
        <v>1419</v>
      </c>
    </row>
    <row r="819" spans="1:8" x14ac:dyDescent="0.25">
      <c r="A819">
        <v>253</v>
      </c>
      <c r="B819">
        <v>1359</v>
      </c>
      <c r="C819" t="s">
        <v>22</v>
      </c>
      <c r="D819" t="s">
        <v>195</v>
      </c>
      <c r="E819" t="s">
        <v>226</v>
      </c>
      <c r="F819">
        <v>126110</v>
      </c>
      <c r="G819" t="s">
        <v>27</v>
      </c>
      <c r="H819" t="s">
        <v>1420</v>
      </c>
    </row>
    <row r="820" spans="1:8" x14ac:dyDescent="0.25">
      <c r="A820">
        <v>880</v>
      </c>
      <c r="B820">
        <v>1322</v>
      </c>
      <c r="C820" t="s">
        <v>22</v>
      </c>
      <c r="D820" t="s">
        <v>23</v>
      </c>
      <c r="E820" t="s">
        <v>725</v>
      </c>
      <c r="F820">
        <v>600038</v>
      </c>
      <c r="G820" t="s">
        <v>30</v>
      </c>
      <c r="H820" t="s">
        <v>1407</v>
      </c>
    </row>
    <row r="821" spans="1:8" x14ac:dyDescent="0.25">
      <c r="A821">
        <v>261</v>
      </c>
      <c r="B821">
        <v>1343</v>
      </c>
      <c r="C821" t="s">
        <v>22</v>
      </c>
      <c r="D821" t="s">
        <v>195</v>
      </c>
      <c r="E821" t="s">
        <v>234</v>
      </c>
      <c r="F821">
        <v>126116</v>
      </c>
      <c r="G821" t="s">
        <v>30</v>
      </c>
      <c r="H821" t="s">
        <v>1421</v>
      </c>
    </row>
    <row r="822" spans="1:8" x14ac:dyDescent="0.25">
      <c r="A822">
        <v>236</v>
      </c>
      <c r="B822">
        <v>1361</v>
      </c>
      <c r="C822" t="s">
        <v>22</v>
      </c>
      <c r="D822" t="s">
        <v>195</v>
      </c>
      <c r="E822" t="s">
        <v>208</v>
      </c>
      <c r="F822">
        <v>126115</v>
      </c>
      <c r="G822" t="s">
        <v>27</v>
      </c>
      <c r="H822" t="s">
        <v>1422</v>
      </c>
    </row>
    <row r="823" spans="1:8" x14ac:dyDescent="0.25">
      <c r="A823">
        <v>880</v>
      </c>
      <c r="B823">
        <v>1325</v>
      </c>
      <c r="C823" t="s">
        <v>22</v>
      </c>
      <c r="D823" t="s">
        <v>23</v>
      </c>
      <c r="E823" t="s">
        <v>725</v>
      </c>
      <c r="F823">
        <v>600038</v>
      </c>
      <c r="G823" t="s">
        <v>30</v>
      </c>
      <c r="H823" t="s">
        <v>1407</v>
      </c>
    </row>
    <row r="824" spans="1:8" x14ac:dyDescent="0.25">
      <c r="A824">
        <v>977</v>
      </c>
      <c r="B824">
        <v>1339</v>
      </c>
      <c r="C824" t="s">
        <v>22</v>
      </c>
      <c r="D824" t="s">
        <v>195</v>
      </c>
      <c r="E824" t="s">
        <v>814</v>
      </c>
      <c r="F824">
        <v>126102</v>
      </c>
      <c r="G824" t="s">
        <v>30</v>
      </c>
      <c r="H824" t="s">
        <v>1188</v>
      </c>
    </row>
    <row r="825" spans="1:8" x14ac:dyDescent="0.25">
      <c r="A825">
        <v>225</v>
      </c>
      <c r="B825">
        <v>627</v>
      </c>
      <c r="C825" t="s">
        <v>22</v>
      </c>
      <c r="D825" t="s">
        <v>195</v>
      </c>
      <c r="E825" t="s">
        <v>198</v>
      </c>
      <c r="F825">
        <v>126125</v>
      </c>
      <c r="G825" t="s">
        <v>24</v>
      </c>
      <c r="H825" t="s">
        <v>1423</v>
      </c>
    </row>
    <row r="826" spans="1:8" x14ac:dyDescent="0.25">
      <c r="A826">
        <v>265</v>
      </c>
      <c r="B826">
        <v>1365</v>
      </c>
      <c r="C826" t="s">
        <v>22</v>
      </c>
      <c r="D826" t="s">
        <v>195</v>
      </c>
      <c r="E826" t="s">
        <v>238</v>
      </c>
      <c r="F826">
        <v>126116</v>
      </c>
      <c r="G826" t="s">
        <v>30</v>
      </c>
      <c r="H826" t="s">
        <v>1424</v>
      </c>
    </row>
    <row r="827" spans="1:8" x14ac:dyDescent="0.25">
      <c r="A827">
        <v>880</v>
      </c>
      <c r="B827">
        <v>1395</v>
      </c>
      <c r="C827" t="s">
        <v>22</v>
      </c>
      <c r="D827" t="s">
        <v>23</v>
      </c>
      <c r="E827" t="s">
        <v>725</v>
      </c>
      <c r="F827">
        <v>600038</v>
      </c>
      <c r="G827" t="s">
        <v>30</v>
      </c>
      <c r="H827" t="s">
        <v>1377</v>
      </c>
    </row>
    <row r="828" spans="1:8" x14ac:dyDescent="0.25">
      <c r="A828">
        <v>238</v>
      </c>
      <c r="B828">
        <v>1390</v>
      </c>
      <c r="C828" t="s">
        <v>22</v>
      </c>
      <c r="D828" t="s">
        <v>195</v>
      </c>
      <c r="E828" t="s">
        <v>210</v>
      </c>
      <c r="F828">
        <v>126101</v>
      </c>
      <c r="G828" t="s">
        <v>27</v>
      </c>
      <c r="H828" t="s">
        <v>1425</v>
      </c>
    </row>
    <row r="829" spans="1:8" x14ac:dyDescent="0.25">
      <c r="A829">
        <v>250</v>
      </c>
      <c r="B829">
        <v>1356</v>
      </c>
      <c r="C829" t="s">
        <v>22</v>
      </c>
      <c r="D829" t="s">
        <v>195</v>
      </c>
      <c r="E829" t="s">
        <v>223</v>
      </c>
      <c r="F829">
        <v>126102</v>
      </c>
      <c r="G829" t="s">
        <v>27</v>
      </c>
      <c r="H829" t="s">
        <v>1426</v>
      </c>
    </row>
    <row r="830" spans="1:8" x14ac:dyDescent="0.25">
      <c r="A830">
        <v>880</v>
      </c>
      <c r="B830">
        <v>1376</v>
      </c>
      <c r="C830" t="s">
        <v>22</v>
      </c>
      <c r="D830" t="s">
        <v>23</v>
      </c>
      <c r="E830" t="s">
        <v>725</v>
      </c>
      <c r="F830">
        <v>600038</v>
      </c>
      <c r="G830" t="s">
        <v>30</v>
      </c>
      <c r="H830" t="s">
        <v>1311</v>
      </c>
    </row>
    <row r="831" spans="1:8" x14ac:dyDescent="0.25">
      <c r="A831">
        <v>262</v>
      </c>
      <c r="B831">
        <v>1328</v>
      </c>
      <c r="C831" t="s">
        <v>22</v>
      </c>
      <c r="D831" t="s">
        <v>195</v>
      </c>
      <c r="E831" t="s">
        <v>235</v>
      </c>
      <c r="F831">
        <v>126116</v>
      </c>
      <c r="G831" t="s">
        <v>30</v>
      </c>
      <c r="H831" t="s">
        <v>1427</v>
      </c>
    </row>
    <row r="832" spans="1:8" x14ac:dyDescent="0.25">
      <c r="A832">
        <v>247</v>
      </c>
      <c r="B832">
        <v>1389</v>
      </c>
      <c r="C832" t="s">
        <v>22</v>
      </c>
      <c r="D832" t="s">
        <v>195</v>
      </c>
      <c r="E832" t="s">
        <v>219</v>
      </c>
      <c r="F832">
        <v>126116</v>
      </c>
      <c r="G832" t="s">
        <v>27</v>
      </c>
      <c r="H832" t="s">
        <v>1428</v>
      </c>
    </row>
    <row r="833" spans="1:8" x14ac:dyDescent="0.25">
      <c r="A833">
        <v>978</v>
      </c>
      <c r="B833">
        <v>1081</v>
      </c>
      <c r="C833" t="s">
        <v>22</v>
      </c>
      <c r="D833" t="s">
        <v>195</v>
      </c>
      <c r="E833" t="s">
        <v>815</v>
      </c>
      <c r="F833">
        <v>126116</v>
      </c>
      <c r="G833" t="s">
        <v>77</v>
      </c>
      <c r="H833" t="s">
        <v>1429</v>
      </c>
    </row>
    <row r="834" spans="1:8" x14ac:dyDescent="0.25">
      <c r="A834">
        <v>251</v>
      </c>
      <c r="B834">
        <v>1347</v>
      </c>
      <c r="C834" t="s">
        <v>22</v>
      </c>
      <c r="D834" t="s">
        <v>195</v>
      </c>
      <c r="E834" t="s">
        <v>224</v>
      </c>
      <c r="F834">
        <v>126125</v>
      </c>
      <c r="G834" t="s">
        <v>27</v>
      </c>
      <c r="H834" t="s">
        <v>1430</v>
      </c>
    </row>
    <row r="835" spans="1:8" x14ac:dyDescent="0.25">
      <c r="A835">
        <v>249</v>
      </c>
      <c r="B835">
        <v>1391</v>
      </c>
      <c r="C835" t="s">
        <v>22</v>
      </c>
      <c r="D835" t="s">
        <v>195</v>
      </c>
      <c r="E835" t="s">
        <v>221</v>
      </c>
      <c r="F835">
        <v>126102</v>
      </c>
      <c r="G835" t="s">
        <v>27</v>
      </c>
      <c r="H835" t="s">
        <v>1431</v>
      </c>
    </row>
    <row r="836" spans="1:8" x14ac:dyDescent="0.25">
      <c r="A836">
        <v>255</v>
      </c>
      <c r="B836">
        <v>1326</v>
      </c>
      <c r="C836" t="s">
        <v>22</v>
      </c>
      <c r="D836" t="s">
        <v>195</v>
      </c>
      <c r="E836" t="s">
        <v>228</v>
      </c>
      <c r="F836">
        <v>126102</v>
      </c>
      <c r="G836" t="s">
        <v>30</v>
      </c>
      <c r="H836" t="s">
        <v>1177</v>
      </c>
    </row>
    <row r="837" spans="1:8" x14ac:dyDescent="0.25">
      <c r="A837">
        <v>234</v>
      </c>
      <c r="B837">
        <v>1351</v>
      </c>
      <c r="C837" t="s">
        <v>22</v>
      </c>
      <c r="D837" t="s">
        <v>195</v>
      </c>
      <c r="E837" t="s">
        <v>206</v>
      </c>
      <c r="F837">
        <v>126115</v>
      </c>
      <c r="G837" t="s">
        <v>27</v>
      </c>
      <c r="H837" t="s">
        <v>1432</v>
      </c>
    </row>
    <row r="838" spans="1:8" x14ac:dyDescent="0.25">
      <c r="A838">
        <v>235</v>
      </c>
      <c r="B838">
        <v>1348</v>
      </c>
      <c r="C838" t="s">
        <v>22</v>
      </c>
      <c r="D838" t="s">
        <v>195</v>
      </c>
      <c r="E838" t="s">
        <v>207</v>
      </c>
      <c r="F838">
        <v>126116</v>
      </c>
      <c r="G838" t="s">
        <v>27</v>
      </c>
      <c r="H838" t="s">
        <v>1417</v>
      </c>
    </row>
    <row r="839" spans="1:8" x14ac:dyDescent="0.25">
      <c r="A839">
        <v>265</v>
      </c>
      <c r="B839">
        <v>1373</v>
      </c>
      <c r="C839" t="s">
        <v>22</v>
      </c>
      <c r="D839" t="s">
        <v>195</v>
      </c>
      <c r="E839" t="s">
        <v>238</v>
      </c>
      <c r="F839">
        <v>126116</v>
      </c>
      <c r="G839" t="s">
        <v>30</v>
      </c>
      <c r="H839" t="s">
        <v>1424</v>
      </c>
    </row>
    <row r="840" spans="1:8" x14ac:dyDescent="0.25">
      <c r="A840">
        <v>976</v>
      </c>
      <c r="B840">
        <v>1321</v>
      </c>
      <c r="C840" t="s">
        <v>22</v>
      </c>
      <c r="D840" t="s">
        <v>195</v>
      </c>
      <c r="E840" t="s">
        <v>813</v>
      </c>
      <c r="F840">
        <v>126115</v>
      </c>
      <c r="G840" t="s">
        <v>27</v>
      </c>
      <c r="H840" t="s">
        <v>1408</v>
      </c>
    </row>
    <row r="841" spans="1:8" x14ac:dyDescent="0.25">
      <c r="A841">
        <v>245</v>
      </c>
      <c r="B841">
        <v>1350</v>
      </c>
      <c r="C841" t="s">
        <v>22</v>
      </c>
      <c r="D841" t="s">
        <v>195</v>
      </c>
      <c r="E841" t="s">
        <v>217</v>
      </c>
      <c r="F841">
        <v>126152</v>
      </c>
      <c r="G841" t="s">
        <v>27</v>
      </c>
      <c r="H841" t="s">
        <v>1432</v>
      </c>
    </row>
    <row r="842" spans="1:8" x14ac:dyDescent="0.25">
      <c r="A842">
        <v>242</v>
      </c>
      <c r="B842">
        <v>1349</v>
      </c>
      <c r="C842" t="s">
        <v>22</v>
      </c>
      <c r="D842" t="s">
        <v>195</v>
      </c>
      <c r="E842" t="s">
        <v>214</v>
      </c>
      <c r="F842">
        <v>126112</v>
      </c>
      <c r="G842" t="s">
        <v>27</v>
      </c>
      <c r="H842" t="s">
        <v>1433</v>
      </c>
    </row>
    <row r="843" spans="1:8" x14ac:dyDescent="0.25">
      <c r="A843">
        <v>244</v>
      </c>
      <c r="B843">
        <v>1363</v>
      </c>
      <c r="C843" t="s">
        <v>22</v>
      </c>
      <c r="D843" t="s">
        <v>195</v>
      </c>
      <c r="E843" t="s">
        <v>216</v>
      </c>
      <c r="F843">
        <v>126116</v>
      </c>
      <c r="G843" t="s">
        <v>27</v>
      </c>
      <c r="H843" t="s">
        <v>1434</v>
      </c>
    </row>
    <row r="844" spans="1:8" x14ac:dyDescent="0.25">
      <c r="A844">
        <v>242</v>
      </c>
      <c r="B844">
        <v>1358</v>
      </c>
      <c r="C844" t="s">
        <v>22</v>
      </c>
      <c r="D844" t="s">
        <v>195</v>
      </c>
      <c r="E844" t="s">
        <v>214</v>
      </c>
      <c r="F844">
        <v>126112</v>
      </c>
      <c r="G844" t="s">
        <v>27</v>
      </c>
      <c r="H844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TPL</vt:lpstr>
      <vt:lpstr>Hospitals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Priyadarshini Natarajan</dc:creator>
  <cp:lastModifiedBy>Priyadarshini Natarajan</cp:lastModifiedBy>
  <dcterms:created xsi:type="dcterms:W3CDTF">2026-05-16T08:28:16Z</dcterms:created>
  <dcterms:modified xsi:type="dcterms:W3CDTF">2026-05-16T08:42:10Z</dcterms:modified>
</cp:coreProperties>
</file>